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yash\Downloads\"/>
    </mc:Choice>
  </mc:AlternateContent>
  <xr:revisionPtr revIDLastSave="0" documentId="13_ncr:1_{2730BE62-2DBC-49FD-8D55-B3E8AFE8BC12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Jan 2026" sheetId="7" r:id="rId1"/>
    <sheet name="Feb 2026" sheetId="6" r:id="rId2"/>
    <sheet name="March 2026" sheetId="5" r:id="rId3"/>
    <sheet name="April 2026" sheetId="8" r:id="rId4"/>
    <sheet name="May 2026" sheetId="9" r:id="rId5"/>
  </sheets>
  <definedNames>
    <definedName name="_xlnm._FilterDatabase" localSheetId="3" hidden="1">'April 2026'!$B$1:$B$53</definedName>
    <definedName name="_xlnm._FilterDatabase" localSheetId="2" hidden="1">'March 2026'!$B$1:$B$58</definedName>
    <definedName name="_xlnm._FilterDatabase" localSheetId="4" hidden="1">'May 2026'!$C$1:$C$52</definedName>
    <definedName name="_xlnm.Print_Area" localSheetId="3">'April 2026'!$A$2:$Q$53</definedName>
    <definedName name="_xlnm.Print_Area" localSheetId="2">'March 2026'!$A$2:$S$58</definedName>
    <definedName name="_xlnm.Print_Area" localSheetId="4">'May 2026'!$A$1:$T$52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6" i="9" l="1"/>
  <c r="I26" i="9"/>
  <c r="J26" i="9"/>
  <c r="K26" i="9"/>
  <c r="L26" i="9"/>
  <c r="M26" i="9"/>
  <c r="N26" i="9"/>
  <c r="O26" i="9"/>
  <c r="P26" i="9"/>
  <c r="Q26" i="9"/>
  <c r="R26" i="9"/>
  <c r="G26" i="9"/>
  <c r="U48" i="9"/>
  <c r="V44" i="9"/>
  <c r="V45" i="9" s="1"/>
  <c r="U44" i="9"/>
  <c r="U45" i="9" s="1"/>
  <c r="V41" i="9"/>
  <c r="V42" i="9" s="1"/>
  <c r="U41" i="9"/>
  <c r="U42" i="9" s="1"/>
  <c r="T41" i="9"/>
  <c r="T42" i="9" s="1"/>
  <c r="S41" i="9"/>
  <c r="S42" i="9" s="1"/>
  <c r="R41" i="9"/>
  <c r="R42" i="9" s="1"/>
  <c r="Q41" i="9"/>
  <c r="Q42" i="9" s="1"/>
  <c r="P41" i="9"/>
  <c r="P42" i="9" s="1"/>
  <c r="O41" i="9"/>
  <c r="O42" i="9" s="1"/>
  <c r="N41" i="9"/>
  <c r="N42" i="9" s="1"/>
  <c r="M41" i="9"/>
  <c r="M42" i="9" s="1"/>
  <c r="L41" i="9"/>
  <c r="L42" i="9" s="1"/>
  <c r="K41" i="9"/>
  <c r="K42" i="9" s="1"/>
  <c r="J41" i="9"/>
  <c r="J42" i="9" s="1"/>
  <c r="I41" i="9"/>
  <c r="I42" i="9" s="1"/>
  <c r="H41" i="9"/>
  <c r="H42" i="9" s="1"/>
  <c r="G41" i="9"/>
  <c r="G42" i="9" s="1"/>
  <c r="V26" i="9"/>
  <c r="V27" i="9" s="1"/>
  <c r="U26" i="9"/>
  <c r="U27" i="9" s="1"/>
  <c r="T26" i="9"/>
  <c r="T44" i="9" s="1"/>
  <c r="T45" i="9" s="1"/>
  <c r="S26" i="9"/>
  <c r="S44" i="9" s="1"/>
  <c r="S45" i="9" s="1"/>
  <c r="L44" i="9"/>
  <c r="L45" i="9" s="1"/>
  <c r="J27" i="9"/>
  <c r="R49" i="8"/>
  <c r="S45" i="8"/>
  <c r="S46" i="8" s="1"/>
  <c r="R45" i="8"/>
  <c r="R46" i="8" s="1"/>
  <c r="S42" i="8"/>
  <c r="S43" i="8" s="1"/>
  <c r="R42" i="8"/>
  <c r="R43" i="8" s="1"/>
  <c r="Q42" i="8"/>
  <c r="Q43" i="8" s="1"/>
  <c r="P42" i="8"/>
  <c r="P43" i="8" s="1"/>
  <c r="O42" i="8"/>
  <c r="O43" i="8" s="1"/>
  <c r="N42" i="8"/>
  <c r="N43" i="8" s="1"/>
  <c r="M42" i="8"/>
  <c r="M43" i="8" s="1"/>
  <c r="L42" i="8"/>
  <c r="L43" i="8" s="1"/>
  <c r="K42" i="8"/>
  <c r="K43" i="8" s="1"/>
  <c r="J42" i="8"/>
  <c r="J43" i="8" s="1"/>
  <c r="I42" i="8"/>
  <c r="I43" i="8" s="1"/>
  <c r="H42" i="8"/>
  <c r="H43" i="8" s="1"/>
  <c r="G42" i="8"/>
  <c r="G43" i="8" s="1"/>
  <c r="F42" i="8"/>
  <c r="F43" i="8" s="1"/>
  <c r="E42" i="8"/>
  <c r="E43" i="8" s="1"/>
  <c r="D42" i="8"/>
  <c r="D43" i="8" s="1"/>
  <c r="S27" i="8"/>
  <c r="S28" i="8" s="1"/>
  <c r="R27" i="8"/>
  <c r="R28" i="8" s="1"/>
  <c r="Q27" i="8"/>
  <c r="P27" i="8"/>
  <c r="P45" i="8" s="1"/>
  <c r="P46" i="8" s="1"/>
  <c r="O27" i="8"/>
  <c r="N27" i="8"/>
  <c r="N45" i="8" s="1"/>
  <c r="N46" i="8" s="1"/>
  <c r="M27" i="8"/>
  <c r="L27" i="8"/>
  <c r="L45" i="8" s="1"/>
  <c r="L46" i="8" s="1"/>
  <c r="K27" i="8"/>
  <c r="K45" i="8" s="1"/>
  <c r="K46" i="8" s="1"/>
  <c r="J27" i="8"/>
  <c r="J45" i="8" s="1"/>
  <c r="J46" i="8" s="1"/>
  <c r="I27" i="8"/>
  <c r="I45" i="8" s="1"/>
  <c r="I46" i="8" s="1"/>
  <c r="H27" i="8"/>
  <c r="G27" i="8"/>
  <c r="G45" i="8" s="1"/>
  <c r="G46" i="8" s="1"/>
  <c r="F27" i="8"/>
  <c r="F45" i="8" s="1"/>
  <c r="F46" i="8" s="1"/>
  <c r="E27" i="8"/>
  <c r="E45" i="8" s="1"/>
  <c r="E46" i="8" s="1"/>
  <c r="D27" i="8"/>
  <c r="D45" i="8" s="1"/>
  <c r="D46" i="8" s="1"/>
  <c r="T54" i="6"/>
  <c r="U50" i="6"/>
  <c r="U51" i="6" s="1"/>
  <c r="T50" i="6"/>
  <c r="T51" i="6" s="1"/>
  <c r="U47" i="6"/>
  <c r="U48" i="6" s="1"/>
  <c r="T47" i="6"/>
  <c r="T48" i="6" s="1"/>
  <c r="S47" i="6"/>
  <c r="S48" i="6" s="1"/>
  <c r="R47" i="6"/>
  <c r="R48" i="6" s="1"/>
  <c r="Q47" i="6"/>
  <c r="Q48" i="6" s="1"/>
  <c r="P47" i="6"/>
  <c r="P48" i="6" s="1"/>
  <c r="O47" i="6"/>
  <c r="O48" i="6" s="1"/>
  <c r="N47" i="6"/>
  <c r="N48" i="6" s="1"/>
  <c r="M47" i="6"/>
  <c r="M48" i="6" s="1"/>
  <c r="L47" i="6"/>
  <c r="L48" i="6" s="1"/>
  <c r="K47" i="6"/>
  <c r="K48" i="6" s="1"/>
  <c r="J47" i="6"/>
  <c r="J48" i="6" s="1"/>
  <c r="I47" i="6"/>
  <c r="I48" i="6" s="1"/>
  <c r="H47" i="6"/>
  <c r="H48" i="6" s="1"/>
  <c r="G47" i="6"/>
  <c r="G48" i="6" s="1"/>
  <c r="F47" i="6"/>
  <c r="F48" i="6" s="1"/>
  <c r="E47" i="6"/>
  <c r="E48" i="6" s="1"/>
  <c r="D47" i="6"/>
  <c r="D48" i="6" s="1"/>
  <c r="U32" i="6"/>
  <c r="U33" i="6" s="1"/>
  <c r="T32" i="6"/>
  <c r="T33" i="6" s="1"/>
  <c r="S32" i="6"/>
  <c r="R32" i="6"/>
  <c r="R50" i="6" s="1"/>
  <c r="R51" i="6" s="1"/>
  <c r="Q32" i="6"/>
  <c r="P32" i="6"/>
  <c r="P50" i="6" s="1"/>
  <c r="P51" i="6" s="1"/>
  <c r="O32" i="6"/>
  <c r="N32" i="6"/>
  <c r="M32" i="6"/>
  <c r="M50" i="6" s="1"/>
  <c r="M51" i="6" s="1"/>
  <c r="L32" i="6"/>
  <c r="L50" i="6" s="1"/>
  <c r="L51" i="6" s="1"/>
  <c r="K32" i="6"/>
  <c r="J32" i="6"/>
  <c r="I32" i="6"/>
  <c r="H32" i="6"/>
  <c r="H50" i="6" s="1"/>
  <c r="H51" i="6" s="1"/>
  <c r="G32" i="6"/>
  <c r="F32" i="6"/>
  <c r="F50" i="6" s="1"/>
  <c r="F51" i="6" s="1"/>
  <c r="E32" i="6"/>
  <c r="D32" i="6"/>
  <c r="D50" i="6" s="1"/>
  <c r="D51" i="6" s="1"/>
  <c r="I44" i="9" l="1"/>
  <c r="I45" i="9" s="1"/>
  <c r="P52" i="6"/>
  <c r="P55" i="6" s="1"/>
  <c r="P58" i="6" s="1"/>
  <c r="J50" i="6"/>
  <c r="J51" i="6" s="1"/>
  <c r="D33" i="6"/>
  <c r="K50" i="6"/>
  <c r="K51" i="6" s="1"/>
  <c r="H33" i="6"/>
  <c r="I50" i="6"/>
  <c r="I51" i="6" s="1"/>
  <c r="J49" i="6"/>
  <c r="L33" i="6"/>
  <c r="H45" i="8"/>
  <c r="H46" i="8" s="1"/>
  <c r="N49" i="6"/>
  <c r="P33" i="6"/>
  <c r="N50" i="6"/>
  <c r="N51" i="6" s="1"/>
  <c r="O50" i="6"/>
  <c r="O51" i="6" s="1"/>
  <c r="E50" i="6"/>
  <c r="E51" i="6" s="1"/>
  <c r="Q50" i="6"/>
  <c r="Q51" i="6" s="1"/>
  <c r="F49" i="6"/>
  <c r="R49" i="6"/>
  <c r="T52" i="6"/>
  <c r="T55" i="6" s="1"/>
  <c r="T58" i="6" s="1"/>
  <c r="M45" i="8"/>
  <c r="M46" i="8" s="1"/>
  <c r="L47" i="8" s="1"/>
  <c r="L50" i="8" s="1"/>
  <c r="L53" i="8" s="1"/>
  <c r="G50" i="6"/>
  <c r="G51" i="6" s="1"/>
  <c r="F52" i="6" s="1"/>
  <c r="F55" i="6" s="1"/>
  <c r="F58" i="6" s="1"/>
  <c r="S50" i="6"/>
  <c r="S51" i="6" s="1"/>
  <c r="O45" i="8"/>
  <c r="O46" i="8" s="1"/>
  <c r="P44" i="9"/>
  <c r="P45" i="9" s="1"/>
  <c r="H44" i="9"/>
  <c r="H45" i="9" s="1"/>
  <c r="O44" i="9"/>
  <c r="O45" i="9" s="1"/>
  <c r="R44" i="9"/>
  <c r="R45" i="9" s="1"/>
  <c r="N44" i="9"/>
  <c r="N45" i="9" s="1"/>
  <c r="Q44" i="9"/>
  <c r="Q45" i="9" s="1"/>
  <c r="M44" i="9"/>
  <c r="M45" i="9" s="1"/>
  <c r="G44" i="9"/>
  <c r="G45" i="9" s="1"/>
  <c r="S46" i="9"/>
  <c r="S49" i="9" s="1"/>
  <c r="S52" i="9" s="1"/>
  <c r="G43" i="9"/>
  <c r="K43" i="9"/>
  <c r="O43" i="9"/>
  <c r="S43" i="9"/>
  <c r="K44" i="9"/>
  <c r="K45" i="9" s="1"/>
  <c r="K46" i="9" s="1"/>
  <c r="K49" i="9" s="1"/>
  <c r="K52" i="9" s="1"/>
  <c r="U46" i="9"/>
  <c r="U49" i="9" s="1"/>
  <c r="U52" i="9" s="1"/>
  <c r="U28" i="9"/>
  <c r="I43" i="9"/>
  <c r="M43" i="9"/>
  <c r="Q43" i="9"/>
  <c r="U43" i="9"/>
  <c r="N27" i="9"/>
  <c r="H27" i="9"/>
  <c r="L27" i="9"/>
  <c r="P27" i="9"/>
  <c r="T27" i="9"/>
  <c r="I27" i="9"/>
  <c r="I28" i="9" s="1"/>
  <c r="M27" i="9"/>
  <c r="Q27" i="9"/>
  <c r="R27" i="9"/>
  <c r="J44" i="9"/>
  <c r="J45" i="9" s="1"/>
  <c r="I46" i="9" s="1"/>
  <c r="I49" i="9" s="1"/>
  <c r="I52" i="9" s="1"/>
  <c r="G27" i="9"/>
  <c r="K27" i="9"/>
  <c r="O27" i="9"/>
  <c r="S27" i="9"/>
  <c r="R47" i="8"/>
  <c r="R50" i="8" s="1"/>
  <c r="R53" i="8" s="1"/>
  <c r="Q45" i="8"/>
  <c r="Q46" i="8" s="1"/>
  <c r="P47" i="8" s="1"/>
  <c r="P50" i="8" s="1"/>
  <c r="P53" i="8" s="1"/>
  <c r="F47" i="8"/>
  <c r="F50" i="8" s="1"/>
  <c r="F53" i="8" s="1"/>
  <c r="P28" i="8"/>
  <c r="F44" i="8"/>
  <c r="J44" i="8"/>
  <c r="N44" i="8"/>
  <c r="D28" i="8"/>
  <c r="H28" i="8"/>
  <c r="J47" i="8"/>
  <c r="J50" i="8" s="1"/>
  <c r="J53" i="8" s="1"/>
  <c r="N47" i="8"/>
  <c r="N50" i="8" s="1"/>
  <c r="N53" i="8" s="1"/>
  <c r="L28" i="8"/>
  <c r="D47" i="8"/>
  <c r="D50" i="8" s="1"/>
  <c r="D53" i="8" s="1"/>
  <c r="R29" i="8"/>
  <c r="H47" i="8"/>
  <c r="H50" i="8" s="1"/>
  <c r="H53" i="8" s="1"/>
  <c r="D44" i="8"/>
  <c r="H44" i="8"/>
  <c r="L44" i="8"/>
  <c r="P44" i="8"/>
  <c r="R44" i="8"/>
  <c r="E28" i="8"/>
  <c r="I28" i="8"/>
  <c r="M28" i="8"/>
  <c r="L29" i="8" s="1"/>
  <c r="Q28" i="8"/>
  <c r="F28" i="8"/>
  <c r="J28" i="8"/>
  <c r="N28" i="8"/>
  <c r="G28" i="8"/>
  <c r="K28" i="8"/>
  <c r="O28" i="8"/>
  <c r="J52" i="6"/>
  <c r="J55" i="6" s="1"/>
  <c r="J58" i="6" s="1"/>
  <c r="N52" i="6"/>
  <c r="N55" i="6" s="1"/>
  <c r="N58" i="6" s="1"/>
  <c r="R52" i="6"/>
  <c r="R55" i="6" s="1"/>
  <c r="R58" i="6" s="1"/>
  <c r="T34" i="6"/>
  <c r="H52" i="6"/>
  <c r="H55" i="6" s="1"/>
  <c r="H58" i="6" s="1"/>
  <c r="D52" i="6"/>
  <c r="D55" i="6" s="1"/>
  <c r="D58" i="6" s="1"/>
  <c r="D49" i="6"/>
  <c r="H49" i="6"/>
  <c r="L49" i="6"/>
  <c r="P49" i="6"/>
  <c r="T49" i="6"/>
  <c r="L52" i="6"/>
  <c r="L55" i="6" s="1"/>
  <c r="L58" i="6" s="1"/>
  <c r="E33" i="6"/>
  <c r="D34" i="6" s="1"/>
  <c r="I33" i="6"/>
  <c r="H34" i="6" s="1"/>
  <c r="M33" i="6"/>
  <c r="L34" i="6" s="1"/>
  <c r="Q33" i="6"/>
  <c r="P34" i="6" s="1"/>
  <c r="F33" i="6"/>
  <c r="J33" i="6"/>
  <c r="J34" i="6" s="1"/>
  <c r="N33" i="6"/>
  <c r="R33" i="6"/>
  <c r="G33" i="6"/>
  <c r="K33" i="6"/>
  <c r="O33" i="6"/>
  <c r="S33" i="6"/>
  <c r="G46" i="9" l="1"/>
  <c r="G49" i="9" s="1"/>
  <c r="G52" i="9" s="1"/>
  <c r="Q46" i="9"/>
  <c r="Q49" i="9" s="1"/>
  <c r="Q52" i="9" s="1"/>
  <c r="M46" i="9"/>
  <c r="M49" i="9" s="1"/>
  <c r="M52" i="9" s="1"/>
  <c r="O46" i="9"/>
  <c r="O49" i="9" s="1"/>
  <c r="O52" i="9" s="1"/>
  <c r="S28" i="9"/>
  <c r="G28" i="9"/>
  <c r="K28" i="9"/>
  <c r="Q28" i="9"/>
  <c r="M28" i="9"/>
  <c r="O28" i="9"/>
  <c r="D29" i="8"/>
  <c r="P29" i="8"/>
  <c r="H29" i="8"/>
  <c r="N29" i="8"/>
  <c r="J29" i="8"/>
  <c r="F29" i="8"/>
  <c r="N34" i="6"/>
  <c r="F34" i="6"/>
  <c r="R34" i="6"/>
  <c r="T54" i="7" l="1"/>
  <c r="U50" i="7"/>
  <c r="U51" i="7" s="1"/>
  <c r="T50" i="7"/>
  <c r="T51" i="7" s="1"/>
  <c r="K50" i="7"/>
  <c r="K51" i="7" s="1"/>
  <c r="S48" i="7"/>
  <c r="R48" i="7"/>
  <c r="R49" i="7" s="1"/>
  <c r="U47" i="7"/>
  <c r="U48" i="7" s="1"/>
  <c r="T47" i="7"/>
  <c r="T48" i="7" s="1"/>
  <c r="T49" i="7" s="1"/>
  <c r="S47" i="7"/>
  <c r="R47" i="7"/>
  <c r="Q47" i="7"/>
  <c r="Q48" i="7" s="1"/>
  <c r="P47" i="7"/>
  <c r="P48" i="7" s="1"/>
  <c r="P49" i="7" s="1"/>
  <c r="O47" i="7"/>
  <c r="O48" i="7" s="1"/>
  <c r="N47" i="7"/>
  <c r="N48" i="7" s="1"/>
  <c r="N49" i="7" s="1"/>
  <c r="M47" i="7"/>
  <c r="M48" i="7" s="1"/>
  <c r="L47" i="7"/>
  <c r="L48" i="7" s="1"/>
  <c r="L49" i="7" s="1"/>
  <c r="K47" i="7"/>
  <c r="K48" i="7" s="1"/>
  <c r="J47" i="7"/>
  <c r="J48" i="7" s="1"/>
  <c r="I47" i="7"/>
  <c r="I48" i="7" s="1"/>
  <c r="H47" i="7"/>
  <c r="H48" i="7" s="1"/>
  <c r="H49" i="7" s="1"/>
  <c r="G47" i="7"/>
  <c r="G48" i="7" s="1"/>
  <c r="F47" i="7"/>
  <c r="F48" i="7" s="1"/>
  <c r="E47" i="7"/>
  <c r="E48" i="7" s="1"/>
  <c r="D47" i="7"/>
  <c r="D48" i="7" s="1"/>
  <c r="D49" i="7" s="1"/>
  <c r="T33" i="7"/>
  <c r="D33" i="7"/>
  <c r="U32" i="7"/>
  <c r="U33" i="7" s="1"/>
  <c r="T32" i="7"/>
  <c r="S32" i="7"/>
  <c r="S33" i="7" s="1"/>
  <c r="R32" i="7"/>
  <c r="R50" i="7" s="1"/>
  <c r="R51" i="7" s="1"/>
  <c r="Q32" i="7"/>
  <c r="Q50" i="7" s="1"/>
  <c r="Q51" i="7" s="1"/>
  <c r="P32" i="7"/>
  <c r="O32" i="7"/>
  <c r="O33" i="7" s="1"/>
  <c r="N32" i="7"/>
  <c r="M32" i="7"/>
  <c r="M50" i="7" s="1"/>
  <c r="M51" i="7" s="1"/>
  <c r="L32" i="7"/>
  <c r="L50" i="7" s="1"/>
  <c r="L51" i="7" s="1"/>
  <c r="K32" i="7"/>
  <c r="K33" i="7" s="1"/>
  <c r="J32" i="7"/>
  <c r="J50" i="7" s="1"/>
  <c r="J51" i="7" s="1"/>
  <c r="J52" i="7" s="1"/>
  <c r="J55" i="7" s="1"/>
  <c r="J58" i="7" s="1"/>
  <c r="I32" i="7"/>
  <c r="I50" i="7" s="1"/>
  <c r="I51" i="7" s="1"/>
  <c r="H32" i="7"/>
  <c r="H50" i="7" s="1"/>
  <c r="H51" i="7" s="1"/>
  <c r="G32" i="7"/>
  <c r="G33" i="7" s="1"/>
  <c r="F32" i="7"/>
  <c r="F50" i="7" s="1"/>
  <c r="F51" i="7" s="1"/>
  <c r="E32" i="7"/>
  <c r="E50" i="7" s="1"/>
  <c r="E51" i="7" s="1"/>
  <c r="D32" i="7"/>
  <c r="F49" i="7" l="1"/>
  <c r="J49" i="7"/>
  <c r="S50" i="7"/>
  <c r="S51" i="7" s="1"/>
  <c r="T52" i="7"/>
  <c r="T55" i="7" s="1"/>
  <c r="T58" i="7" s="1"/>
  <c r="R52" i="7"/>
  <c r="R55" i="7" s="1"/>
  <c r="R58" i="7" s="1"/>
  <c r="O50" i="7"/>
  <c r="O51" i="7" s="1"/>
  <c r="G50" i="7"/>
  <c r="G51" i="7" s="1"/>
  <c r="F52" i="7" s="1"/>
  <c r="F55" i="7" s="1"/>
  <c r="F58" i="7" s="1"/>
  <c r="N50" i="7"/>
  <c r="N51" i="7" s="1"/>
  <c r="N52" i="7" s="1"/>
  <c r="N55" i="7" s="1"/>
  <c r="N58" i="7" s="1"/>
  <c r="L33" i="7"/>
  <c r="H33" i="7"/>
  <c r="D50" i="7"/>
  <c r="D51" i="7" s="1"/>
  <c r="D52" i="7" s="1"/>
  <c r="D55" i="7" s="1"/>
  <c r="D58" i="7" s="1"/>
  <c r="P50" i="7"/>
  <c r="P51" i="7" s="1"/>
  <c r="P52" i="7" s="1"/>
  <c r="P55" i="7" s="1"/>
  <c r="P58" i="7" s="1"/>
  <c r="P33" i="7"/>
  <c r="T34" i="7"/>
  <c r="H52" i="7"/>
  <c r="H55" i="7" s="1"/>
  <c r="H58" i="7" s="1"/>
  <c r="L52" i="7"/>
  <c r="L55" i="7" s="1"/>
  <c r="L58" i="7" s="1"/>
  <c r="E33" i="7"/>
  <c r="D34" i="7" s="1"/>
  <c r="I33" i="7"/>
  <c r="M33" i="7"/>
  <c r="L34" i="7" s="1"/>
  <c r="Q33" i="7"/>
  <c r="P34" i="7" s="1"/>
  <c r="F33" i="7"/>
  <c r="F34" i="7" s="1"/>
  <c r="J33" i="7"/>
  <c r="J34" i="7" s="1"/>
  <c r="N33" i="7"/>
  <c r="N34" i="7" s="1"/>
  <c r="R33" i="7"/>
  <c r="R34" i="7" s="1"/>
  <c r="H34" i="7" l="1"/>
  <c r="E32" i="5"/>
  <c r="F32" i="5"/>
  <c r="G32" i="5"/>
  <c r="H32" i="5"/>
  <c r="I32" i="5"/>
  <c r="J32" i="5"/>
  <c r="K32" i="5"/>
  <c r="L32" i="5"/>
  <c r="M32" i="5"/>
  <c r="N32" i="5"/>
  <c r="O32" i="5"/>
  <c r="P32" i="5"/>
  <c r="Q32" i="5"/>
  <c r="R32" i="5"/>
  <c r="S32" i="5"/>
  <c r="D32" i="5"/>
  <c r="T50" i="5" l="1"/>
  <c r="U50" i="5"/>
  <c r="J33" i="5"/>
  <c r="K33" i="5"/>
  <c r="J47" i="5"/>
  <c r="J48" i="5" s="1"/>
  <c r="K47" i="5"/>
  <c r="K48" i="5" s="1"/>
  <c r="J50" i="5" l="1"/>
  <c r="J51" i="5" s="1"/>
  <c r="K50" i="5"/>
  <c r="K51" i="5" s="1"/>
  <c r="J49" i="5"/>
  <c r="J34" i="5"/>
  <c r="J52" i="5" l="1"/>
  <c r="J55" i="5" s="1"/>
  <c r="J58" i="5" s="1"/>
  <c r="E47" i="5" l="1"/>
  <c r="E50" i="5" s="1"/>
  <c r="F47" i="5"/>
  <c r="F50" i="5" s="1"/>
  <c r="G47" i="5"/>
  <c r="G50" i="5" s="1"/>
  <c r="H47" i="5"/>
  <c r="H50" i="5" s="1"/>
  <c r="I47" i="5"/>
  <c r="I50" i="5" s="1"/>
  <c r="L47" i="5"/>
  <c r="L50" i="5" s="1"/>
  <c r="M47" i="5"/>
  <c r="M50" i="5" s="1"/>
  <c r="N47" i="5"/>
  <c r="N50" i="5" s="1"/>
  <c r="O47" i="5"/>
  <c r="O50" i="5" s="1"/>
  <c r="P47" i="5"/>
  <c r="P50" i="5" s="1"/>
  <c r="Q47" i="5"/>
  <c r="Q50" i="5" s="1"/>
  <c r="R47" i="5"/>
  <c r="R50" i="5" s="1"/>
  <c r="S47" i="5"/>
  <c r="S50" i="5" s="1"/>
  <c r="D47" i="5"/>
  <c r="D50" i="5" s="1"/>
  <c r="O33" i="5" l="1"/>
  <c r="T54" i="5"/>
  <c r="U47" i="5"/>
  <c r="U48" i="5" s="1"/>
  <c r="T47" i="5"/>
  <c r="T48" i="5" s="1"/>
  <c r="S48" i="5"/>
  <c r="R48" i="5"/>
  <c r="Q48" i="5"/>
  <c r="P48" i="5"/>
  <c r="N48" i="5"/>
  <c r="M48" i="5"/>
  <c r="L48" i="5"/>
  <c r="I48" i="5"/>
  <c r="H48" i="5"/>
  <c r="G48" i="5"/>
  <c r="F48" i="5"/>
  <c r="F33" i="5"/>
  <c r="G33" i="5"/>
  <c r="H33" i="5"/>
  <c r="I33" i="5"/>
  <c r="L33" i="5"/>
  <c r="M33" i="5"/>
  <c r="N33" i="5"/>
  <c r="Q33" i="5"/>
  <c r="R33" i="5"/>
  <c r="S33" i="5"/>
  <c r="T32" i="5"/>
  <c r="T33" i="5" s="1"/>
  <c r="U32" i="5"/>
  <c r="U33" i="5" s="1"/>
  <c r="E33" i="5"/>
  <c r="L34" i="5" l="1"/>
  <c r="H34" i="5"/>
  <c r="T34" i="5"/>
  <c r="T49" i="5"/>
  <c r="F34" i="5"/>
  <c r="M51" i="5"/>
  <c r="F49" i="5"/>
  <c r="H49" i="5"/>
  <c r="L49" i="5"/>
  <c r="P49" i="5"/>
  <c r="I51" i="5"/>
  <c r="U51" i="5"/>
  <c r="G51" i="5"/>
  <c r="P33" i="5"/>
  <c r="P34" i="5" s="1"/>
  <c r="R49" i="5"/>
  <c r="H51" i="5"/>
  <c r="Q51" i="5"/>
  <c r="F51" i="5"/>
  <c r="R34" i="5"/>
  <c r="N34" i="5"/>
  <c r="O48" i="5"/>
  <c r="N49" i="5" s="1"/>
  <c r="F52" i="5" l="1"/>
  <c r="F55" i="5" s="1"/>
  <c r="F58" i="5" s="1"/>
  <c r="S51" i="5"/>
  <c r="H52" i="5"/>
  <c r="H55" i="5" s="1"/>
  <c r="H58" i="5" s="1"/>
  <c r="T51" i="5"/>
  <c r="T52" i="5" s="1"/>
  <c r="T55" i="5" s="1"/>
  <c r="T58" i="5" s="1"/>
  <c r="P51" i="5"/>
  <c r="P52" i="5" s="1"/>
  <c r="P55" i="5" s="1"/>
  <c r="P58" i="5" s="1"/>
  <c r="L51" i="5"/>
  <c r="L52" i="5" s="1"/>
  <c r="L55" i="5" s="1"/>
  <c r="L58" i="5" s="1"/>
  <c r="O51" i="5"/>
  <c r="R51" i="5"/>
  <c r="N51" i="5"/>
  <c r="R52" i="5" l="1"/>
  <c r="R55" i="5" s="1"/>
  <c r="R58" i="5" s="1"/>
  <c r="N52" i="5"/>
  <c r="N55" i="5" s="1"/>
  <c r="N58" i="5" s="1"/>
  <c r="D48" i="5"/>
  <c r="D33" i="5" l="1"/>
  <c r="D34" i="5" s="1"/>
  <c r="E48" i="5"/>
  <c r="D49" i="5" l="1"/>
  <c r="E51" i="5"/>
  <c r="D51" i="5" l="1"/>
  <c r="D52" i="5" s="1"/>
  <c r="D55" i="5" l="1"/>
  <c r="D58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Shashank</author>
  </authors>
  <commentList>
    <comment ref="N53" authorId="0" shapeId="0" xr:uid="{93D4216C-B089-4FA0-9E71-1DC46040174E}">
      <text>
        <r>
          <rPr>
            <b/>
            <sz val="9"/>
            <color indexed="81"/>
            <rFont val="Tahoma"/>
            <family val="2"/>
          </rPr>
          <t>Shashank:</t>
        </r>
        <r>
          <rPr>
            <sz val="9"/>
            <color indexed="81"/>
            <rFont val="Tahoma"/>
            <family val="2"/>
          </rPr>
          <t xml:space="preserve">
2 Days - Shrenik Audit
2 Days - Labtech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Shashank</author>
  </authors>
  <commentList>
    <comment ref="N53" authorId="0" shapeId="0" xr:uid="{3D9722DA-C0D6-42B5-8AB6-B6049453FF07}">
      <text>
        <r>
          <rPr>
            <b/>
            <sz val="9"/>
            <color indexed="81"/>
            <rFont val="Tahoma"/>
            <family val="2"/>
          </rPr>
          <t>Shashank:</t>
        </r>
        <r>
          <rPr>
            <sz val="9"/>
            <color indexed="81"/>
            <rFont val="Tahoma"/>
            <family val="2"/>
          </rPr>
          <t xml:space="preserve">
2 Days - Shrenik Audit
2 Days - Labtech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Shashank</author>
  </authors>
  <commentList>
    <comment ref="N53" authorId="0" shapeId="0" xr:uid="{A0C126C0-C573-433A-B2E4-1342B837885D}">
      <text>
        <r>
          <rPr>
            <b/>
            <sz val="9"/>
            <color indexed="81"/>
            <rFont val="Tahoma"/>
            <family val="2"/>
          </rPr>
          <t>Shashank:</t>
        </r>
        <r>
          <rPr>
            <sz val="9"/>
            <color indexed="81"/>
            <rFont val="Tahoma"/>
            <family val="2"/>
          </rPr>
          <t xml:space="preserve">
2 Days - Shrenik Audit
2 Days - Labtech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Shashank</author>
  </authors>
  <commentList>
    <comment ref="N48" authorId="0" shapeId="0" xr:uid="{26E24FEA-9D25-4C62-9038-E6A0A005347D}">
      <text>
        <r>
          <rPr>
            <b/>
            <sz val="9"/>
            <color indexed="81"/>
            <rFont val="Tahoma"/>
            <family val="2"/>
          </rPr>
          <t>Shashank:</t>
        </r>
        <r>
          <rPr>
            <sz val="9"/>
            <color indexed="81"/>
            <rFont val="Tahoma"/>
            <family val="2"/>
          </rPr>
          <t xml:space="preserve">
2 Days - Shrenik Audit
2 Days - Labtech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Shashank</author>
  </authors>
  <commentList>
    <comment ref="Q47" authorId="0" shapeId="0" xr:uid="{A4E8B31D-0BB0-45EA-B781-995FDB0B7FDE}">
      <text>
        <r>
          <rPr>
            <b/>
            <sz val="9"/>
            <color indexed="81"/>
            <rFont val="Tahoma"/>
            <family val="2"/>
          </rPr>
          <t>Shashank:</t>
        </r>
        <r>
          <rPr>
            <sz val="9"/>
            <color indexed="81"/>
            <rFont val="Tahoma"/>
            <family val="2"/>
          </rPr>
          <t xml:space="preserve">
2 Days - Shrenik Audit
2 Days - Labtech</t>
        </r>
      </text>
    </comment>
  </commentList>
</comments>
</file>

<file path=xl/sharedStrings.xml><?xml version="1.0" encoding="utf-8"?>
<sst xmlns="http://schemas.openxmlformats.org/spreadsheetml/2006/main" count="572" uniqueCount="125">
  <si>
    <t>Deliverable</t>
  </si>
  <si>
    <t>MLS</t>
  </si>
  <si>
    <t>On-site</t>
  </si>
  <si>
    <t>Off-site</t>
  </si>
  <si>
    <t>Fixed Tasks / other task</t>
  </si>
  <si>
    <t>Invoice</t>
  </si>
  <si>
    <t>MCTC</t>
  </si>
  <si>
    <t>Data Sync</t>
  </si>
  <si>
    <t>Other Company Man Days</t>
  </si>
  <si>
    <t>Other Company's Total Man Days</t>
  </si>
  <si>
    <t>Total Man Days</t>
  </si>
  <si>
    <t>Total Available Man Days</t>
  </si>
  <si>
    <t>Total buffer Man Days</t>
  </si>
  <si>
    <t>Grand Total Hours</t>
  </si>
  <si>
    <t>Deliverable Distribution Table &amp; Man-days Estimation Plan (DDT - ME)</t>
  </si>
  <si>
    <t xml:space="preserve">Grand Total Man-days </t>
  </si>
  <si>
    <t>Total Hours Fix</t>
  </si>
  <si>
    <t>Total Man-days Fix</t>
  </si>
  <si>
    <t>Sr. No.</t>
  </si>
  <si>
    <t>Plan</t>
  </si>
  <si>
    <t>Actual</t>
  </si>
  <si>
    <t>Priority</t>
  </si>
  <si>
    <t>RC7 (Including Realignment of Deliverables) (0.5 * 8)</t>
  </si>
  <si>
    <t>Agenda and Action Plan Preparation for visits (6*0.25) and (6*1)</t>
  </si>
  <si>
    <t xml:space="preserve">Review of Master list of Action Plan and take the follow-up for the same and Weekly RYG (4*1.5) </t>
  </si>
  <si>
    <t>Total Planned Leave</t>
  </si>
  <si>
    <t xml:space="preserve">Daily Mail checking and Click up updation Activity </t>
  </si>
  <si>
    <t>SK</t>
  </si>
  <si>
    <t xml:space="preserve">Monthly Review PPT </t>
  </si>
  <si>
    <t>Monthly Deliverables Planning with DDT-ME (Including Click up Updation)</t>
  </si>
  <si>
    <r>
      <t xml:space="preserve">Fortnightly and Monthly Review with Internal team - QA&amp;QC </t>
    </r>
    <r>
      <rPr>
        <i/>
        <sz val="12"/>
        <color rgb="FF000000"/>
        <rFont val="Aptos"/>
        <family val="2"/>
      </rPr>
      <t xml:space="preserve">(Including Preparation time) </t>
    </r>
  </si>
  <si>
    <t xml:space="preserve">Total Hours </t>
  </si>
  <si>
    <t xml:space="preserve">Total Man-days </t>
  </si>
  <si>
    <t>SPM</t>
  </si>
  <si>
    <t>Total BMD Man Days</t>
  </si>
  <si>
    <t>Total BMD Man Days Fix</t>
  </si>
  <si>
    <t>Grand Total BMD Man Days</t>
  </si>
  <si>
    <t>To prepare and share week-wise Production, Rejection and OTD data for both units (BMD 1 and 2)</t>
  </si>
  <si>
    <t>To conduct a weekly mixing audit at BMD unit 2</t>
  </si>
  <si>
    <t>To prepare the Rolling Nov'25 Load planning sheet</t>
  </si>
  <si>
    <t>To take follow-up of Daily Plan vs Actual report</t>
  </si>
  <si>
    <t xml:space="preserve">To conduct the Monthly review meeting with Arvind Sir </t>
  </si>
  <si>
    <t>To prepare Dec'25 Load planning Sheet</t>
  </si>
  <si>
    <t>To prepare an Objective sheet, including the Sales, ITR, OTD, etc</t>
  </si>
  <si>
    <t>HMS</t>
  </si>
  <si>
    <t>To discuss and finalize the MRM structure</t>
  </si>
  <si>
    <t>Collect the current available FMEA and HIRA sheet and understand the sheet for APG</t>
  </si>
  <si>
    <t>Prepare SBS sheet for APG dept. as per required skills</t>
  </si>
  <si>
    <t>Skill Mapping of the APG dept. team members</t>
  </si>
  <si>
    <t>Prepare textual OPLs for APG</t>
  </si>
  <si>
    <t>Get the textual OPLs validated  for APG by Arvind sir/ Rajesh sir</t>
  </si>
  <si>
    <t>Conduct trainings of 2 batches  for APG team members with test papers</t>
  </si>
  <si>
    <t>Collect photos for APG for preparing Photographic OPLs</t>
  </si>
  <si>
    <t>Prepare Photograhpic OPL for APG</t>
  </si>
  <si>
    <t>Get the photographic OPLs validated  for APG by Arvind sir/ Rajesh sir</t>
  </si>
  <si>
    <t>Coordinate with BMD team and get magnetic board for displaying the posters</t>
  </si>
  <si>
    <t>Display the photographic OPLs near the APG area</t>
  </si>
  <si>
    <t>To Conduct Training of Staff team members on:-
- Train the Trainer
- Internal Auditor's training on ISO 9K, 14K, 45K
- Leadership Score
- DMAIC
- 8D Process, Customer Complaint</t>
  </si>
  <si>
    <t>To collect current available formats &amp; documents of ISO 9K, 14K and 45K at Unit-1</t>
  </si>
  <si>
    <t>To verify the format filling status of formats and documents of ISO 9K, 14K and 45K at Unit-1</t>
  </si>
  <si>
    <t>To Update &amp; Share the required formats to the required department team members of Unit-2 as per ISO 9K, 14K and 45K</t>
  </si>
  <si>
    <t>To Take follow-up of Machine Installation Action Plan of Unit-2</t>
  </si>
  <si>
    <t>To Daily Analyse the Daily plan vs Actual Report and update the cumulative summary sheet</t>
  </si>
  <si>
    <t>BARODA MOULDS AND DIES - FEB'2026</t>
  </si>
  <si>
    <t>BARODA MOULDS AND DIES - JAN'2026</t>
  </si>
  <si>
    <t>BARODA MOULDS AND DIES - April'2026</t>
  </si>
  <si>
    <t>SH</t>
  </si>
  <si>
    <t xml:space="preserve">To conduct the Mid Monthly meeting with Arvind Sir </t>
  </si>
  <si>
    <t>To ensure error -free records for audit related Documents Unit 1</t>
  </si>
  <si>
    <t>To ensure error -free records for audit related Documents Unit 2</t>
  </si>
  <si>
    <t>Review CAPA Format before submit to External audit site Unit 1</t>
  </si>
  <si>
    <t>Review CAPA Format before submit to External audit site Unit 2</t>
  </si>
  <si>
    <t>To Review all department formats &amp; documents for Unit 1</t>
  </si>
  <si>
    <t>To set up proper folder structure &amp; files preparation for external audit for easy traceability for Unit 1</t>
  </si>
  <si>
    <t>To provide handholding support to Unit 1 team members for closing External audit NCs</t>
  </si>
  <si>
    <t>To Review all department formats &amp; documents for Unit 2</t>
  </si>
  <si>
    <t>To set up proper folder structure &amp; files preparation for external audit for easy traceability for Unit 2</t>
  </si>
  <si>
    <t>To provide handholding support to Unit 2 team members for closing External audit NCs</t>
  </si>
  <si>
    <t>To provide handholding support during external audit at Unit 1</t>
  </si>
  <si>
    <t>To provide handholding support during external audit at Unit  2</t>
  </si>
  <si>
    <t>To prepare a training schedule and conduct training to Unit 2 team members.</t>
  </si>
  <si>
    <t>To take follow-up for poster &amp; visuals and display support to Unit 2</t>
  </si>
  <si>
    <t>W1</t>
  </si>
  <si>
    <t>W2</t>
  </si>
  <si>
    <t>W5</t>
  </si>
  <si>
    <t>W4</t>
  </si>
  <si>
    <t>W3</t>
  </si>
  <si>
    <t>W45</t>
  </si>
  <si>
    <t>W34</t>
  </si>
  <si>
    <t>W23</t>
  </si>
  <si>
    <t>W12</t>
  </si>
  <si>
    <t>W12345</t>
  </si>
  <si>
    <t>To conduct training for staff on audit handling and questioning practice for Unit 1</t>
  </si>
  <si>
    <t>To conduct training for staff on audit handling and questioning practice for Unit 2</t>
  </si>
  <si>
    <t>To follow up with Harish Bhai for reviewing EHS annexures and formats</t>
  </si>
  <si>
    <t>To prepare and discuss EHS objectives and MR-related activities</t>
  </si>
  <si>
    <t>To review formats and supporting documents for gap identification</t>
  </si>
  <si>
    <t>To follow up on visual displays at Site 1 and Site 2</t>
  </si>
  <si>
    <t>To follow up with Harish Bhai for the external audit date and schedule</t>
  </si>
  <si>
    <t>To create a centralized access folder for external audit readiness</t>
  </si>
  <si>
    <t>To provide EHS audit awareness training to all team members at Site 1 and Site 2</t>
  </si>
  <si>
    <t>To prepare an audit checklist for conducting cross audits</t>
  </si>
  <si>
    <t>To conduct cross audits to identify and prevent maximum gaps before the external audit</t>
  </si>
  <si>
    <t>To prepare and share the audit report with Arvind Sir</t>
  </si>
  <si>
    <t>To conduct process audits to verify rejection parameters</t>
  </si>
  <si>
    <t>To analyze on collected process audit data on rejection parameters and prepare improvement plans</t>
  </si>
  <si>
    <t>To follow up on the Daily Plan vs Actual report</t>
  </si>
  <si>
    <t>To analyze the Daily Plan vs Actual report and update the cumulative summary sheet</t>
  </si>
  <si>
    <t>To conduct ROP compliance audit</t>
  </si>
  <si>
    <t>To conduct stock accuracy audit</t>
  </si>
  <si>
    <t>W345</t>
  </si>
  <si>
    <t>To prepare the May'26 load planning sheet</t>
  </si>
  <si>
    <t>To revise EHS annexures and formats</t>
  </si>
  <si>
    <t>To review HIRA points based on the applicability of Site 1 &amp; site 2</t>
  </si>
  <si>
    <t>To review and update the EHS procedure manual and EHS manual</t>
  </si>
  <si>
    <t>To provide handholding support during the EHS external audit</t>
  </si>
  <si>
    <t>To support BMD team members for external audit improvements and NC closure</t>
  </si>
  <si>
    <t>To discuss &amp; analyze past/ recent internal rejection parameters and review it with the chart papers for parameters compliance</t>
  </si>
  <si>
    <t>EHS</t>
  </si>
  <si>
    <t>Rejection</t>
  </si>
  <si>
    <t>SCM</t>
  </si>
  <si>
    <t>Review</t>
  </si>
  <si>
    <t>Start Date</t>
  </si>
  <si>
    <t>Target Date</t>
  </si>
  <si>
    <t>uvhj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</si>
</sst>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6" x14ac:knownFonts="1"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sz val="12"/>
      <color theme="1"/>
      <name val="Aptos"/>
      <family val="2"/>
    </font>
    <font>
      <sz val="12"/>
      <color theme="1"/>
      <name val="Aptos"/>
      <family val="2"/>
    </font>
    <font>
      <sz val="12"/>
      <color theme="1"/>
      <name val="Aptos"/>
      <family val="2"/>
    </font>
    <font>
      <sz val="12"/>
      <color theme="1"/>
      <name val="Aptos"/>
      <family val="2"/>
    </font>
    <font>
      <sz val="8"/>
      <name val="Calibri"/>
      <family val="2"/>
      <scheme val="minor"/>
    </font>
    <font>
      <b/>
      <sz val="12"/>
      <color theme="1"/>
      <name val="Aptos"/>
      <family val="2"/>
    </font>
    <font>
      <b/>
      <sz val="20"/>
      <color theme="1"/>
      <name val="Aptos"/>
      <family val="2"/>
    </font>
    <font>
      <b/>
      <sz val="18"/>
      <color theme="1"/>
      <name val="Aptos"/>
      <family val="2"/>
    </font>
    <font>
      <sz val="11"/>
      <color theme="1"/>
      <name val="Aptos"/>
      <family val="2"/>
    </font>
    <font>
      <b/>
      <sz val="14"/>
      <color theme="0"/>
      <name val="Aptos"/>
      <family val="2"/>
    </font>
    <font>
      <b/>
      <sz val="14"/>
      <color theme="1"/>
      <name val="Aptos"/>
      <family val="2"/>
    </font>
    <font>
      <b/>
      <sz val="11"/>
      <color theme="1"/>
      <name val="Aptos"/>
      <family val="2"/>
    </font>
    <font>
      <sz val="14"/>
      <color theme="1"/>
      <name val="Aptos"/>
      <family val="2"/>
    </font>
    <font>
      <sz val="12"/>
      <color rgb="FF000000"/>
      <name val="Aptos"/>
      <family val="2"/>
    </font>
    <font>
      <i/>
      <sz val="12"/>
      <color rgb="FF000000"/>
      <name val="Aptos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20"/>
      <color theme="1"/>
      <name val="Aptos"/>
      <family val="2"/>
    </font>
    <font>
      <b/>
      <sz val="10"/>
      <color theme="1"/>
      <name val="Aptos"/>
      <family val="2"/>
    </font>
    <font>
      <b/>
      <sz val="10"/>
      <color theme="0"/>
      <name val="Aptos"/>
      <family val="2"/>
    </font>
    <font>
      <sz val="10"/>
      <color theme="1"/>
      <name val="Aptos"/>
      <family val="2"/>
    </font>
    <font>
      <b/>
      <sz val="28"/>
      <color theme="1"/>
      <name val="Aptos"/>
      <family val="2"/>
    </font>
    <font>
      <b/>
      <sz val="22"/>
      <color theme="1"/>
      <name val="Aptos"/>
      <family val="2"/>
    </font>
    <font>
      <sz val="18"/>
      <color theme="1"/>
      <name val="Aptos"/>
      <family val="2"/>
    </font>
  </fonts>
  <fills count="1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73">
    <xf numFmtId="0" fontId="0" fillId="0" borderId="0" xfId="0"/>
    <xf numFmtId="0" fontId="0" fillId="0" borderId="0" xfId="0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7" fillId="6" borderId="20" xfId="0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horizontal="center" vertical="center"/>
    </xf>
    <xf numFmtId="0" fontId="10" fillId="8" borderId="5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7" fillId="10" borderId="10" xfId="0" applyFont="1" applyFill="1" applyBorder="1" applyAlignment="1">
      <alignment horizontal="center" vertical="center"/>
    </xf>
    <xf numFmtId="164" fontId="7" fillId="10" borderId="10" xfId="0" applyNumberFormat="1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7" fillId="6" borderId="13" xfId="0" applyFont="1" applyFill="1" applyBorder="1" applyAlignment="1">
      <alignment horizontal="center" vertical="center"/>
    </xf>
    <xf numFmtId="0" fontId="7" fillId="7" borderId="6" xfId="0" applyFont="1" applyFill="1" applyBorder="1" applyAlignment="1">
      <alignment horizontal="center" vertical="center"/>
    </xf>
    <xf numFmtId="0" fontId="7" fillId="6" borderId="6" xfId="0" applyFont="1" applyFill="1" applyBorder="1" applyAlignment="1">
      <alignment horizontal="center" vertical="center"/>
    </xf>
    <xf numFmtId="0" fontId="7" fillId="8" borderId="6" xfId="0" applyFont="1" applyFill="1" applyBorder="1" applyAlignment="1">
      <alignment horizontal="center" vertical="center"/>
    </xf>
    <xf numFmtId="0" fontId="7" fillId="8" borderId="21" xfId="0" applyFont="1" applyFill="1" applyBorder="1" applyAlignment="1">
      <alignment horizontal="center" vertical="center"/>
    </xf>
    <xf numFmtId="0" fontId="7" fillId="8" borderId="7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164" fontId="7" fillId="10" borderId="7" xfId="0" applyNumberFormat="1" applyFont="1" applyFill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  <xf numFmtId="0" fontId="5" fillId="7" borderId="12" xfId="0" applyFont="1" applyFill="1" applyBorder="1" applyAlignment="1">
      <alignment horizontal="center" vertical="center"/>
    </xf>
    <xf numFmtId="0" fontId="5" fillId="8" borderId="12" xfId="0" applyFont="1" applyFill="1" applyBorder="1" applyAlignment="1">
      <alignment horizontal="center" vertical="center"/>
    </xf>
    <xf numFmtId="0" fontId="15" fillId="0" borderId="12" xfId="0" applyFont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/>
    </xf>
    <xf numFmtId="0" fontId="12" fillId="10" borderId="10" xfId="0" applyFont="1" applyFill="1" applyBorder="1" applyAlignment="1">
      <alignment horizontal="center" vertical="center"/>
    </xf>
    <xf numFmtId="164" fontId="12" fillId="10" borderId="10" xfId="0" applyNumberFormat="1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15" fillId="0" borderId="18" xfId="0" applyFont="1" applyBorder="1" applyAlignment="1">
      <alignment vertical="center" wrapText="1"/>
    </xf>
    <xf numFmtId="0" fontId="15" fillId="0" borderId="12" xfId="0" applyFont="1" applyBorder="1" applyAlignment="1">
      <alignment vertical="center" wrapText="1"/>
    </xf>
    <xf numFmtId="0" fontId="5" fillId="6" borderId="4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5" fillId="8" borderId="5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/>
    <xf numFmtId="0" fontId="5" fillId="0" borderId="15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164" fontId="12" fillId="10" borderId="7" xfId="0" applyNumberFormat="1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164" fontId="12" fillId="0" borderId="12" xfId="0" applyNumberFormat="1" applyFont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14" fontId="10" fillId="0" borderId="0" xfId="0" applyNumberFormat="1" applyFont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9" fillId="0" borderId="0" xfId="0" applyFont="1" applyAlignment="1">
      <alignment horizontal="center" vertical="center"/>
    </xf>
    <xf numFmtId="0" fontId="13" fillId="4" borderId="0" xfId="0" applyFont="1" applyFill="1" applyAlignment="1">
      <alignment horizontal="center"/>
    </xf>
    <xf numFmtId="49" fontId="8" fillId="0" borderId="0" xfId="0" applyNumberFormat="1" applyFont="1" applyAlignment="1">
      <alignment horizontal="center" vertical="center"/>
    </xf>
    <xf numFmtId="0" fontId="19" fillId="0" borderId="0" xfId="0" applyFont="1"/>
    <xf numFmtId="0" fontId="20" fillId="5" borderId="1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0" fillId="6" borderId="20" xfId="0" applyFont="1" applyFill="1" applyBorder="1" applyAlignment="1">
      <alignment horizontal="center" vertical="center"/>
    </xf>
    <xf numFmtId="0" fontId="20" fillId="7" borderId="21" xfId="0" applyFont="1" applyFill="1" applyBorder="1" applyAlignment="1">
      <alignment horizontal="center" vertical="center"/>
    </xf>
    <xf numFmtId="0" fontId="22" fillId="0" borderId="0" xfId="0" applyFont="1"/>
    <xf numFmtId="49" fontId="23" fillId="0" borderId="0" xfId="0" applyNumberFormat="1" applyFont="1" applyAlignment="1">
      <alignment horizontal="center" vertical="center"/>
    </xf>
    <xf numFmtId="0" fontId="9" fillId="4" borderId="0" xfId="0" applyFont="1" applyFill="1" applyAlignment="1">
      <alignment horizontal="center"/>
    </xf>
    <xf numFmtId="0" fontId="24" fillId="5" borderId="11" xfId="0" applyFont="1" applyFill="1" applyBorder="1" applyAlignment="1">
      <alignment horizontal="center"/>
    </xf>
    <xf numFmtId="0" fontId="24" fillId="5" borderId="3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25" fillId="0" borderId="0" xfId="0" applyFont="1" applyAlignment="1">
      <alignment horizontal="center" vertical="center"/>
    </xf>
    <xf numFmtId="0" fontId="7" fillId="7" borderId="21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1" fillId="6" borderId="12" xfId="0" applyFont="1" applyFill="1" applyBorder="1" applyAlignment="1">
      <alignment horizontal="center" vertical="center"/>
    </xf>
    <xf numFmtId="0" fontId="1" fillId="7" borderId="12" xfId="0" applyFont="1" applyFill="1" applyBorder="1" applyAlignment="1">
      <alignment horizontal="center" vertical="center"/>
    </xf>
    <xf numFmtId="0" fontId="1" fillId="8" borderId="12" xfId="0" applyFont="1" applyFill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1" fillId="8" borderId="5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/>
    <xf numFmtId="0" fontId="1" fillId="0" borderId="15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5" fillId="0" borderId="12" xfId="0" applyFont="1" applyBorder="1" applyAlignment="1">
      <alignment horizontal="left" vertical="center" wrapText="1"/>
    </xf>
    <xf numFmtId="0" fontId="1" fillId="6" borderId="10" xfId="0" applyFont="1" applyFill="1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1" fillId="8" borderId="10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10" fillId="8" borderId="23" xfId="0" applyFont="1" applyFill="1" applyBorder="1" applyAlignment="1">
      <alignment horizontal="center" vertical="center"/>
    </xf>
    <xf numFmtId="0" fontId="7" fillId="5" borderId="8" xfId="0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center" vertical="center"/>
    </xf>
    <xf numFmtId="0" fontId="9" fillId="9" borderId="16" xfId="0" applyFont="1" applyFill="1" applyBorder="1" applyAlignment="1">
      <alignment horizontal="center" vertical="center"/>
    </xf>
    <xf numFmtId="0" fontId="9" fillId="9" borderId="18" xfId="0" applyFont="1" applyFill="1" applyBorder="1" applyAlignment="1">
      <alignment horizontal="center" vertical="center"/>
    </xf>
    <xf numFmtId="0" fontId="12" fillId="10" borderId="18" xfId="0" applyFont="1" applyFill="1" applyBorder="1" applyAlignment="1">
      <alignment horizontal="center" vertical="center"/>
    </xf>
    <xf numFmtId="0" fontId="7" fillId="5" borderId="22" xfId="0" applyFont="1" applyFill="1" applyBorder="1" applyAlignment="1">
      <alignment horizontal="center" vertical="center"/>
    </xf>
    <xf numFmtId="14" fontId="15" fillId="0" borderId="12" xfId="0" applyNumberFormat="1" applyFont="1" applyBorder="1" applyAlignment="1">
      <alignment horizontal="left" vertical="center" wrapText="1"/>
    </xf>
    <xf numFmtId="0" fontId="20" fillId="12" borderId="2" xfId="0" applyFont="1" applyFill="1" applyBorder="1" applyAlignment="1">
      <alignment horizontal="center" vertical="center"/>
    </xf>
    <xf numFmtId="0" fontId="20" fillId="12" borderId="1" xfId="0" applyFont="1" applyFill="1" applyBorder="1" applyAlignment="1">
      <alignment horizontal="center" vertical="center"/>
    </xf>
    <xf numFmtId="0" fontId="20" fillId="11" borderId="2" xfId="0" applyFont="1" applyFill="1" applyBorder="1" applyAlignment="1">
      <alignment horizontal="center" vertical="center"/>
    </xf>
    <xf numFmtId="0" fontId="20" fillId="11" borderId="1" xfId="0" applyFont="1" applyFill="1" applyBorder="1" applyAlignment="1">
      <alignment horizontal="center" vertical="center"/>
    </xf>
    <xf numFmtId="0" fontId="21" fillId="12" borderId="2" xfId="0" applyFont="1" applyFill="1" applyBorder="1" applyAlignment="1">
      <alignment horizontal="center"/>
    </xf>
    <xf numFmtId="0" fontId="21" fillId="12" borderId="1" xfId="0" applyFont="1" applyFill="1" applyBorder="1" applyAlignment="1">
      <alignment horizontal="center"/>
    </xf>
    <xf numFmtId="0" fontId="22" fillId="0" borderId="0" xfId="0" applyFont="1" applyAlignment="1">
      <alignment horizontal="center" vertical="center"/>
    </xf>
    <xf numFmtId="0" fontId="12" fillId="3" borderId="17" xfId="0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164" fontId="12" fillId="0" borderId="2" xfId="0" applyNumberFormat="1" applyFont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164" fontId="12" fillId="0" borderId="3" xfId="0" applyNumberFormat="1" applyFont="1" applyBorder="1" applyAlignment="1">
      <alignment horizontal="center" vertical="center"/>
    </xf>
    <xf numFmtId="164" fontId="13" fillId="0" borderId="3" xfId="0" applyNumberFormat="1" applyFont="1" applyBorder="1" applyAlignment="1">
      <alignment horizontal="center"/>
    </xf>
    <xf numFmtId="164" fontId="13" fillId="0" borderId="1" xfId="0" applyNumberFormat="1" applyFont="1" applyBorder="1" applyAlignment="1">
      <alignment horizontal="center"/>
    </xf>
    <xf numFmtId="0" fontId="9" fillId="9" borderId="11" xfId="0" applyFont="1" applyFill="1" applyBorder="1" applyAlignment="1">
      <alignment horizontal="center" vertical="center"/>
    </xf>
    <xf numFmtId="0" fontId="9" fillId="9" borderId="16" xfId="0" applyFont="1" applyFill="1" applyBorder="1" applyAlignment="1">
      <alignment horizontal="center" vertical="center"/>
    </xf>
    <xf numFmtId="0" fontId="9" fillId="9" borderId="17" xfId="0" applyFont="1" applyFill="1" applyBorder="1" applyAlignment="1">
      <alignment horizontal="center" vertical="center"/>
    </xf>
    <xf numFmtId="0" fontId="9" fillId="9" borderId="18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12" fillId="3" borderId="10" xfId="0" applyFont="1" applyFill="1" applyBorder="1" applyAlignment="1">
      <alignment horizontal="center" vertical="center"/>
    </xf>
    <xf numFmtId="164" fontId="11" fillId="2" borderId="3" xfId="0" applyNumberFormat="1" applyFont="1" applyFill="1" applyBorder="1" applyAlignment="1">
      <alignment horizontal="center" vertical="center"/>
    </xf>
    <xf numFmtId="164" fontId="11" fillId="2" borderId="1" xfId="0" applyNumberFormat="1" applyFont="1" applyFill="1" applyBorder="1" applyAlignment="1">
      <alignment horizontal="center" vertical="center"/>
    </xf>
    <xf numFmtId="164" fontId="11" fillId="2" borderId="2" xfId="0" applyNumberFormat="1" applyFont="1" applyFill="1" applyBorder="1" applyAlignment="1">
      <alignment horizontal="center" vertical="center"/>
    </xf>
    <xf numFmtId="0" fontId="12" fillId="10" borderId="17" xfId="0" applyFont="1" applyFill="1" applyBorder="1" applyAlignment="1">
      <alignment horizontal="center" vertical="center"/>
    </xf>
    <xf numFmtId="0" fontId="12" fillId="10" borderId="18" xfId="0" applyFont="1" applyFill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64" fontId="13" fillId="0" borderId="3" xfId="0" applyNumberFormat="1" applyFont="1" applyBorder="1" applyAlignment="1">
      <alignment horizontal="center" vertical="center"/>
    </xf>
    <xf numFmtId="164" fontId="13" fillId="0" borderId="1" xfId="0" applyNumberFormat="1" applyFont="1" applyBorder="1" applyAlignment="1">
      <alignment horizontal="center" vertical="center"/>
    </xf>
    <xf numFmtId="0" fontId="11" fillId="2" borderId="2" xfId="0" applyFont="1" applyFill="1" applyBorder="1" applyAlignment="1">
      <alignment horizontal="center"/>
    </xf>
    <xf numFmtId="0" fontId="12" fillId="11" borderId="2" xfId="0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0" fontId="12" fillId="12" borderId="2" xfId="0" applyFont="1" applyFill="1" applyBorder="1" applyAlignment="1">
      <alignment horizontal="center" vertical="center"/>
    </xf>
    <xf numFmtId="0" fontId="12" fillId="12" borderId="1" xfId="0" applyFont="1" applyFill="1" applyBorder="1" applyAlignment="1">
      <alignment horizontal="center" vertical="center"/>
    </xf>
    <xf numFmtId="0" fontId="9" fillId="5" borderId="8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/>
    </xf>
    <xf numFmtId="0" fontId="24" fillId="5" borderId="22" xfId="0" applyFont="1" applyFill="1" applyBorder="1" applyAlignment="1">
      <alignment horizontal="center" vertical="center"/>
    </xf>
    <xf numFmtId="0" fontId="24" fillId="5" borderId="10" xfId="0" applyFont="1" applyFill="1" applyBorder="1" applyAlignment="1">
      <alignment horizontal="center" vertical="center"/>
    </xf>
    <xf numFmtId="49" fontId="23" fillId="0" borderId="2" xfId="0" applyNumberFormat="1" applyFont="1" applyBorder="1" applyAlignment="1">
      <alignment horizontal="center" vertical="center"/>
    </xf>
    <xf numFmtId="49" fontId="23" fillId="0" borderId="3" xfId="0" applyNumberFormat="1" applyFont="1" applyBorder="1" applyAlignment="1">
      <alignment horizontal="center" vertical="center"/>
    </xf>
    <xf numFmtId="49" fontId="23" fillId="0" borderId="1" xfId="0" applyNumberFormat="1" applyFont="1" applyBorder="1" applyAlignment="1">
      <alignment horizontal="center" vertical="center"/>
    </xf>
    <xf numFmtId="0" fontId="9" fillId="4" borderId="2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25" fillId="0" borderId="0" xfId="0" applyFont="1" applyAlignment="1">
      <alignment horizontal="center" vertical="center"/>
    </xf>
    <xf numFmtId="0" fontId="11" fillId="12" borderId="2" xfId="0" applyFont="1" applyFill="1" applyBorder="1" applyAlignment="1">
      <alignment horizontal="center"/>
    </xf>
    <xf numFmtId="0" fontId="11" fillId="12" borderId="1" xfId="0" applyFont="1" applyFill="1" applyBorder="1" applyAlignment="1">
      <alignment horizontal="center"/>
    </xf>
    <xf numFmtId="49" fontId="8" fillId="0" borderId="2" xfId="0" applyNumberFormat="1" applyFont="1" applyBorder="1" applyAlignment="1">
      <alignment horizontal="center" vertical="center"/>
    </xf>
    <xf numFmtId="49" fontId="8" fillId="0" borderId="3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0" fontId="13" fillId="4" borderId="2" xfId="0" applyFont="1" applyFill="1" applyBorder="1" applyAlignment="1">
      <alignment horizontal="center"/>
    </xf>
    <xf numFmtId="0" fontId="13" fillId="4" borderId="3" xfId="0" applyFont="1" applyFill="1" applyBorder="1" applyAlignment="1">
      <alignment horizontal="center"/>
    </xf>
    <xf numFmtId="0" fontId="13" fillId="4" borderId="1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21" fillId="2" borderId="1" xfId="0" applyFont="1" applyFill="1" applyBorder="1" applyAlignment="1">
      <alignment horizontal="center"/>
    </xf>
    <xf numFmtId="0" fontId="7" fillId="5" borderId="8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  <xf numFmtId="0" fontId="7" fillId="5" borderId="22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AFE6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9A67F-171D-4955-BF97-4A43812B48F2}">
  <dimension ref="A1:X58"/>
  <sheetViews>
    <sheetView workbookViewId="0">
      <selection sqref="A1:XFD1048576"/>
    </sheetView>
  </sheetViews>
  <sheetFormatPr defaultRowHeight="14.4" x14ac:dyDescent="0.3"/>
  <cols>
    <col min="1" max="1" width="13.21875" customWidth="1"/>
    <col min="2" max="2" width="68.21875" customWidth="1"/>
    <col min="3" max="3" width="16.21875" customWidth="1"/>
    <col min="4" max="5" width="10.77734375" customWidth="1"/>
    <col min="6" max="7" width="10.77734375" hidden="1" customWidth="1"/>
    <col min="8" max="9" width="9.21875" hidden="1" customWidth="1"/>
    <col min="12" max="13" width="9.21875" hidden="1" customWidth="1"/>
    <col min="16" max="17" width="9.21875" hidden="1" customWidth="1"/>
    <col min="20" max="20" width="9.21875" hidden="1" customWidth="1"/>
    <col min="21" max="21" width="2.21875" hidden="1" customWidth="1"/>
    <col min="22" max="24" width="21.44140625" style="1" customWidth="1"/>
  </cols>
  <sheetData>
    <row r="1" spans="1:24" ht="15" thickBot="1" x14ac:dyDescent="0.35"/>
    <row r="2" spans="1:24" s="2" customFormat="1" ht="37.200000000000003" thickBot="1" x14ac:dyDescent="0.35">
      <c r="A2" s="151" t="s">
        <v>64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53"/>
      <c r="T2" s="67"/>
      <c r="U2" s="67"/>
      <c r="V2" s="3"/>
      <c r="W2" s="3"/>
      <c r="X2" s="3"/>
    </row>
    <row r="3" spans="1:24" s="2" customFormat="1" ht="24" thickBot="1" x14ac:dyDescent="0.5">
      <c r="A3" s="154" t="s">
        <v>14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6"/>
      <c r="T3" s="68"/>
      <c r="U3" s="68"/>
      <c r="V3" s="3"/>
      <c r="W3" s="3"/>
      <c r="X3" s="3"/>
    </row>
    <row r="4" spans="1:24" s="71" customFormat="1" ht="21" customHeight="1" thickBot="1" x14ac:dyDescent="0.6">
      <c r="A4" s="69"/>
      <c r="B4" s="70"/>
      <c r="C4" s="70"/>
      <c r="D4" s="140" t="s">
        <v>1</v>
      </c>
      <c r="E4" s="125"/>
      <c r="F4" s="125"/>
      <c r="G4" s="126"/>
      <c r="H4" s="125"/>
      <c r="I4" s="126"/>
      <c r="J4" s="140" t="s">
        <v>33</v>
      </c>
      <c r="K4" s="125"/>
      <c r="L4" s="125"/>
      <c r="M4" s="126"/>
      <c r="N4" s="140" t="s">
        <v>27</v>
      </c>
      <c r="O4" s="125"/>
      <c r="P4" s="125"/>
      <c r="Q4" s="126"/>
      <c r="R4" s="140" t="s">
        <v>44</v>
      </c>
      <c r="S4" s="125"/>
      <c r="T4" s="125"/>
      <c r="U4" s="126"/>
      <c r="V4" s="3"/>
      <c r="W4" s="3"/>
      <c r="X4" s="3"/>
    </row>
    <row r="5" spans="1:24" s="71" customFormat="1" ht="29.55" customHeight="1" thickBot="1" x14ac:dyDescent="0.4">
      <c r="A5" s="145" t="s">
        <v>18</v>
      </c>
      <c r="B5" s="147" t="s">
        <v>0</v>
      </c>
      <c r="C5" s="149" t="s">
        <v>21</v>
      </c>
      <c r="D5" s="141" t="s">
        <v>19</v>
      </c>
      <c r="E5" s="142"/>
      <c r="F5" s="143" t="s">
        <v>20</v>
      </c>
      <c r="G5" s="144"/>
      <c r="H5" s="143" t="s">
        <v>20</v>
      </c>
      <c r="I5" s="144"/>
      <c r="J5" s="141" t="s">
        <v>19</v>
      </c>
      <c r="K5" s="142"/>
      <c r="L5" s="143" t="s">
        <v>20</v>
      </c>
      <c r="M5" s="144"/>
      <c r="N5" s="141" t="s">
        <v>19</v>
      </c>
      <c r="O5" s="142"/>
      <c r="P5" s="143" t="s">
        <v>20</v>
      </c>
      <c r="Q5" s="144"/>
      <c r="R5" s="141" t="s">
        <v>19</v>
      </c>
      <c r="S5" s="142"/>
      <c r="T5" s="158" t="s">
        <v>20</v>
      </c>
      <c r="U5" s="159"/>
      <c r="V5" s="157"/>
      <c r="W5" s="157"/>
      <c r="X5" s="157"/>
    </row>
    <row r="6" spans="1:24" s="2" customFormat="1" ht="26.55" customHeight="1" thickBot="1" x14ac:dyDescent="0.35">
      <c r="A6" s="146"/>
      <c r="B6" s="148"/>
      <c r="C6" s="150"/>
      <c r="D6" s="4" t="s">
        <v>2</v>
      </c>
      <c r="E6" s="73" t="s">
        <v>3</v>
      </c>
      <c r="F6" s="4" t="s">
        <v>2</v>
      </c>
      <c r="G6" s="73" t="s">
        <v>3</v>
      </c>
      <c r="H6" s="4" t="s">
        <v>2</v>
      </c>
      <c r="I6" s="73" t="s">
        <v>3</v>
      </c>
      <c r="J6" s="4" t="s">
        <v>2</v>
      </c>
      <c r="K6" s="73" t="s">
        <v>3</v>
      </c>
      <c r="L6" s="4" t="s">
        <v>2</v>
      </c>
      <c r="M6" s="73" t="s">
        <v>3</v>
      </c>
      <c r="N6" s="4" t="s">
        <v>2</v>
      </c>
      <c r="O6" s="73" t="s">
        <v>3</v>
      </c>
      <c r="P6" s="4" t="s">
        <v>2</v>
      </c>
      <c r="Q6" s="73" t="s">
        <v>3</v>
      </c>
      <c r="R6" s="4" t="s">
        <v>2</v>
      </c>
      <c r="S6" s="73" t="s">
        <v>3</v>
      </c>
      <c r="T6" s="4" t="s">
        <v>2</v>
      </c>
      <c r="U6" s="73" t="s">
        <v>3</v>
      </c>
      <c r="V6" s="72"/>
      <c r="W6" s="72"/>
      <c r="X6" s="72"/>
    </row>
    <row r="7" spans="1:24" s="2" customFormat="1" ht="44.25" customHeight="1" thickBot="1" x14ac:dyDescent="0.35">
      <c r="A7" s="24">
        <v>1</v>
      </c>
      <c r="B7" s="55" t="s">
        <v>37</v>
      </c>
      <c r="C7" s="74"/>
      <c r="D7" s="75"/>
      <c r="E7" s="76"/>
      <c r="F7" s="75"/>
      <c r="G7" s="76"/>
      <c r="H7" s="75"/>
      <c r="I7" s="77"/>
      <c r="J7" s="75">
        <v>2</v>
      </c>
      <c r="K7" s="77">
        <v>0.5</v>
      </c>
      <c r="L7" s="75"/>
      <c r="M7" s="77"/>
      <c r="N7" s="75">
        <v>2</v>
      </c>
      <c r="O7" s="77">
        <v>1</v>
      </c>
      <c r="P7" s="75"/>
      <c r="Q7" s="77"/>
      <c r="R7" s="75">
        <v>2</v>
      </c>
      <c r="S7" s="77">
        <v>3</v>
      </c>
      <c r="T7" s="5"/>
      <c r="U7" s="6"/>
      <c r="V7" s="3"/>
      <c r="W7" s="7"/>
      <c r="X7" s="7"/>
    </row>
    <row r="8" spans="1:24" s="2" customFormat="1" ht="44.25" customHeight="1" thickBot="1" x14ac:dyDescent="0.35">
      <c r="A8" s="24">
        <v>2</v>
      </c>
      <c r="B8" s="55" t="s">
        <v>38</v>
      </c>
      <c r="C8" s="74"/>
      <c r="D8" s="75"/>
      <c r="E8" s="76"/>
      <c r="F8" s="75"/>
      <c r="G8" s="76"/>
      <c r="H8" s="75"/>
      <c r="I8" s="77"/>
      <c r="J8" s="75">
        <v>2</v>
      </c>
      <c r="K8" s="77">
        <v>0.5</v>
      </c>
      <c r="L8" s="75"/>
      <c r="M8" s="77"/>
      <c r="N8" s="75">
        <v>4</v>
      </c>
      <c r="O8" s="77">
        <v>4</v>
      </c>
      <c r="P8" s="75"/>
      <c r="Q8" s="77"/>
      <c r="R8" s="75">
        <v>4</v>
      </c>
      <c r="S8" s="77">
        <v>4</v>
      </c>
      <c r="T8" s="5"/>
      <c r="U8" s="6"/>
      <c r="V8" s="3"/>
      <c r="W8" s="7"/>
      <c r="X8" s="7"/>
    </row>
    <row r="9" spans="1:24" s="2" customFormat="1" ht="44.25" customHeight="1" thickBot="1" x14ac:dyDescent="0.35">
      <c r="A9" s="24">
        <v>3</v>
      </c>
      <c r="B9" s="55" t="s">
        <v>42</v>
      </c>
      <c r="C9" s="74"/>
      <c r="D9" s="75"/>
      <c r="E9" s="76"/>
      <c r="F9" s="75"/>
      <c r="G9" s="76"/>
      <c r="H9" s="75"/>
      <c r="I9" s="77"/>
      <c r="J9" s="75"/>
      <c r="K9" s="77"/>
      <c r="L9" s="75"/>
      <c r="M9" s="77"/>
      <c r="N9" s="75">
        <v>4</v>
      </c>
      <c r="O9" s="77"/>
      <c r="P9" s="75"/>
      <c r="Q9" s="77"/>
      <c r="R9" s="75">
        <v>4</v>
      </c>
      <c r="S9" s="77"/>
      <c r="T9" s="5"/>
      <c r="U9" s="6"/>
      <c r="V9" s="3"/>
      <c r="W9" s="7"/>
      <c r="X9" s="7"/>
    </row>
    <row r="10" spans="1:24" s="2" customFormat="1" ht="43.5" customHeight="1" thickBot="1" x14ac:dyDescent="0.35">
      <c r="A10" s="24">
        <v>4</v>
      </c>
      <c r="B10" s="55" t="s">
        <v>39</v>
      </c>
      <c r="C10" s="74"/>
      <c r="D10" s="75"/>
      <c r="E10" s="76"/>
      <c r="F10" s="75"/>
      <c r="G10" s="76"/>
      <c r="H10" s="75"/>
      <c r="I10" s="77"/>
      <c r="J10" s="75">
        <v>4</v>
      </c>
      <c r="K10" s="77"/>
      <c r="L10" s="75"/>
      <c r="M10" s="77"/>
      <c r="N10" s="75">
        <v>4</v>
      </c>
      <c r="O10" s="77"/>
      <c r="P10" s="75"/>
      <c r="Q10" s="77"/>
      <c r="R10" s="75">
        <v>4</v>
      </c>
      <c r="S10" s="77"/>
      <c r="T10" s="5"/>
      <c r="U10" s="6"/>
      <c r="V10" s="51"/>
      <c r="W10" s="7"/>
      <c r="X10" s="7"/>
    </row>
    <row r="11" spans="1:24" s="2" customFormat="1" ht="42" customHeight="1" thickBot="1" x14ac:dyDescent="0.35">
      <c r="A11" s="24">
        <v>5</v>
      </c>
      <c r="B11" s="55" t="s">
        <v>40</v>
      </c>
      <c r="C11" s="74"/>
      <c r="D11" s="75"/>
      <c r="E11" s="76"/>
      <c r="F11" s="75"/>
      <c r="G11" s="76"/>
      <c r="H11" s="75"/>
      <c r="I11" s="77"/>
      <c r="J11" s="75"/>
      <c r="K11" s="77"/>
      <c r="L11" s="75"/>
      <c r="M11" s="77"/>
      <c r="N11" s="75"/>
      <c r="O11" s="77"/>
      <c r="P11" s="75"/>
      <c r="Q11" s="77"/>
      <c r="R11" s="75"/>
      <c r="S11" s="77">
        <v>1</v>
      </c>
      <c r="T11" s="5"/>
      <c r="U11" s="6"/>
      <c r="V11" s="51"/>
      <c r="W11" s="7"/>
      <c r="X11" s="7"/>
    </row>
    <row r="12" spans="1:24" s="2" customFormat="1" ht="42" customHeight="1" thickBot="1" x14ac:dyDescent="0.35">
      <c r="A12" s="24">
        <v>6</v>
      </c>
      <c r="B12" s="55" t="s">
        <v>62</v>
      </c>
      <c r="C12" s="74"/>
      <c r="D12" s="75"/>
      <c r="E12" s="76">
        <v>2</v>
      </c>
      <c r="F12" s="75"/>
      <c r="G12" s="76"/>
      <c r="H12" s="75"/>
      <c r="I12" s="77"/>
      <c r="J12" s="75"/>
      <c r="K12" s="77">
        <v>3</v>
      </c>
      <c r="L12" s="75"/>
      <c r="M12" s="77"/>
      <c r="N12" s="75"/>
      <c r="O12" s="77">
        <v>3</v>
      </c>
      <c r="P12" s="75"/>
      <c r="Q12" s="77"/>
      <c r="R12" s="75"/>
      <c r="S12" s="77">
        <v>8</v>
      </c>
      <c r="T12" s="5"/>
      <c r="U12" s="6"/>
      <c r="V12" s="51"/>
      <c r="W12" s="7"/>
      <c r="X12" s="7"/>
    </row>
    <row r="13" spans="1:24" s="2" customFormat="1" ht="42" customHeight="1" thickBot="1" x14ac:dyDescent="0.35">
      <c r="A13" s="24">
        <v>7</v>
      </c>
      <c r="B13" s="55" t="s">
        <v>43</v>
      </c>
      <c r="C13" s="74"/>
      <c r="D13" s="75"/>
      <c r="E13" s="76"/>
      <c r="F13" s="75"/>
      <c r="G13" s="76"/>
      <c r="H13" s="75"/>
      <c r="I13" s="77"/>
      <c r="J13" s="75"/>
      <c r="K13" s="77">
        <v>0.25</v>
      </c>
      <c r="L13" s="75"/>
      <c r="M13" s="77"/>
      <c r="N13" s="75"/>
      <c r="O13" s="77">
        <v>1</v>
      </c>
      <c r="P13" s="75"/>
      <c r="Q13" s="77"/>
      <c r="R13" s="75">
        <v>1</v>
      </c>
      <c r="S13" s="77"/>
      <c r="T13" s="5"/>
      <c r="U13" s="6"/>
      <c r="V13" s="51"/>
      <c r="W13" s="7"/>
      <c r="X13" s="7"/>
    </row>
    <row r="14" spans="1:24" s="2" customFormat="1" ht="39.75" customHeight="1" thickBot="1" x14ac:dyDescent="0.35">
      <c r="A14" s="24">
        <v>8</v>
      </c>
      <c r="B14" s="55" t="s">
        <v>45</v>
      </c>
      <c r="C14" s="74"/>
      <c r="D14" s="75"/>
      <c r="E14" s="76">
        <v>0.5</v>
      </c>
      <c r="F14" s="75"/>
      <c r="G14" s="76"/>
      <c r="H14" s="75"/>
      <c r="I14" s="77"/>
      <c r="J14" s="75">
        <v>1.5</v>
      </c>
      <c r="K14" s="77">
        <v>0.5</v>
      </c>
      <c r="L14" s="75"/>
      <c r="M14" s="77"/>
      <c r="N14" s="75"/>
      <c r="O14" s="77">
        <v>0.5</v>
      </c>
      <c r="P14" s="75"/>
      <c r="Q14" s="77"/>
      <c r="R14" s="75">
        <v>1.5</v>
      </c>
      <c r="S14" s="77">
        <v>1.5</v>
      </c>
      <c r="T14" s="5"/>
      <c r="U14" s="6"/>
      <c r="V14" s="51"/>
      <c r="W14" s="7"/>
      <c r="X14" s="7"/>
    </row>
    <row r="15" spans="1:24" s="2" customFormat="1" ht="39.75" customHeight="1" thickBot="1" x14ac:dyDescent="0.35">
      <c r="A15" s="24">
        <v>9</v>
      </c>
      <c r="B15" s="55" t="s">
        <v>41</v>
      </c>
      <c r="C15" s="74"/>
      <c r="D15" s="75">
        <v>3</v>
      </c>
      <c r="E15" s="76"/>
      <c r="F15" s="75"/>
      <c r="G15" s="76"/>
      <c r="H15" s="75"/>
      <c r="I15" s="77"/>
      <c r="J15" s="75">
        <v>12</v>
      </c>
      <c r="K15" s="77">
        <v>1</v>
      </c>
      <c r="L15" s="75"/>
      <c r="M15" s="77"/>
      <c r="N15" s="75">
        <v>3</v>
      </c>
      <c r="O15" s="77">
        <v>2</v>
      </c>
      <c r="P15" s="75"/>
      <c r="Q15" s="77"/>
      <c r="R15" s="75">
        <v>8</v>
      </c>
      <c r="S15" s="77"/>
      <c r="T15" s="5"/>
      <c r="U15" s="6"/>
      <c r="V15" s="51"/>
      <c r="W15" s="7"/>
      <c r="X15" s="7"/>
    </row>
    <row r="16" spans="1:24" s="2" customFormat="1" ht="39.75" customHeight="1" thickBot="1" x14ac:dyDescent="0.35">
      <c r="A16" s="24">
        <v>10</v>
      </c>
      <c r="B16" s="55" t="s">
        <v>46</v>
      </c>
      <c r="C16" s="74"/>
      <c r="D16" s="75"/>
      <c r="E16" s="76"/>
      <c r="F16" s="75"/>
      <c r="G16" s="76"/>
      <c r="H16" s="75"/>
      <c r="I16" s="77"/>
      <c r="J16" s="75">
        <v>1</v>
      </c>
      <c r="K16" s="77">
        <v>0.5</v>
      </c>
      <c r="L16" s="75"/>
      <c r="M16" s="77"/>
      <c r="N16" s="75">
        <v>3</v>
      </c>
      <c r="O16" s="77">
        <v>0.5</v>
      </c>
      <c r="P16" s="75"/>
      <c r="Q16" s="77"/>
      <c r="R16" s="75">
        <v>1</v>
      </c>
      <c r="S16" s="77">
        <v>0.5</v>
      </c>
      <c r="T16" s="5"/>
      <c r="U16" s="6"/>
      <c r="V16" s="51"/>
      <c r="W16" s="7"/>
      <c r="X16" s="7"/>
    </row>
    <row r="17" spans="1:24" s="2" customFormat="1" ht="39.75" customHeight="1" thickBot="1" x14ac:dyDescent="0.35">
      <c r="A17" s="24">
        <v>11</v>
      </c>
      <c r="B17" s="55" t="s">
        <v>47</v>
      </c>
      <c r="C17" s="74"/>
      <c r="D17" s="75"/>
      <c r="E17" s="76"/>
      <c r="F17" s="75"/>
      <c r="G17" s="76"/>
      <c r="H17" s="75"/>
      <c r="I17" s="77"/>
      <c r="J17" s="75">
        <v>0.5</v>
      </c>
      <c r="K17" s="77">
        <v>0.5</v>
      </c>
      <c r="L17" s="75"/>
      <c r="M17" s="77"/>
      <c r="N17" s="75">
        <v>0.5</v>
      </c>
      <c r="O17" s="77">
        <v>1.5</v>
      </c>
      <c r="P17" s="75"/>
      <c r="Q17" s="77"/>
      <c r="R17" s="75">
        <v>0.5</v>
      </c>
      <c r="S17" s="77">
        <v>3</v>
      </c>
      <c r="T17" s="5"/>
      <c r="U17" s="6"/>
      <c r="V17" s="51"/>
      <c r="W17" s="7"/>
      <c r="X17" s="7"/>
    </row>
    <row r="18" spans="1:24" s="2" customFormat="1" ht="39.75" customHeight="1" thickBot="1" x14ac:dyDescent="0.35">
      <c r="A18" s="24">
        <v>12</v>
      </c>
      <c r="B18" s="55" t="s">
        <v>48</v>
      </c>
      <c r="C18" s="74"/>
      <c r="D18" s="75"/>
      <c r="E18" s="76"/>
      <c r="F18" s="75"/>
      <c r="G18" s="76"/>
      <c r="H18" s="75"/>
      <c r="I18" s="77"/>
      <c r="J18" s="75"/>
      <c r="K18" s="77"/>
      <c r="L18" s="75"/>
      <c r="M18" s="77"/>
      <c r="N18" s="75">
        <v>1</v>
      </c>
      <c r="O18" s="77"/>
      <c r="P18" s="75"/>
      <c r="Q18" s="77"/>
      <c r="R18" s="75"/>
      <c r="S18" s="77"/>
      <c r="T18" s="5"/>
      <c r="U18" s="6"/>
      <c r="V18" s="51"/>
      <c r="W18" s="7"/>
      <c r="X18" s="7"/>
    </row>
    <row r="19" spans="1:24" s="2" customFormat="1" ht="39.75" customHeight="1" thickBot="1" x14ac:dyDescent="0.35">
      <c r="A19" s="24">
        <v>13</v>
      </c>
      <c r="B19" s="55" t="s">
        <v>49</v>
      </c>
      <c r="C19" s="74"/>
      <c r="D19" s="75"/>
      <c r="E19" s="76"/>
      <c r="F19" s="75"/>
      <c r="G19" s="76"/>
      <c r="H19" s="75"/>
      <c r="I19" s="77"/>
      <c r="J19" s="75"/>
      <c r="K19" s="77">
        <v>0.5</v>
      </c>
      <c r="L19" s="75"/>
      <c r="M19" s="77"/>
      <c r="N19" s="75"/>
      <c r="O19" s="77">
        <v>0.5</v>
      </c>
      <c r="P19" s="75"/>
      <c r="Q19" s="77"/>
      <c r="R19" s="75"/>
      <c r="S19" s="77">
        <v>3.5</v>
      </c>
      <c r="T19" s="5"/>
      <c r="U19" s="6"/>
      <c r="V19" s="51"/>
      <c r="W19" s="7"/>
      <c r="X19" s="7"/>
    </row>
    <row r="20" spans="1:24" s="2" customFormat="1" ht="39.75" customHeight="1" thickBot="1" x14ac:dyDescent="0.35">
      <c r="A20" s="24">
        <v>14</v>
      </c>
      <c r="B20" s="55" t="s">
        <v>50</v>
      </c>
      <c r="C20" s="74"/>
      <c r="D20" s="75"/>
      <c r="E20" s="76"/>
      <c r="F20" s="75"/>
      <c r="G20" s="76"/>
      <c r="H20" s="75"/>
      <c r="I20" s="77"/>
      <c r="J20" s="75"/>
      <c r="K20" s="77"/>
      <c r="L20" s="75"/>
      <c r="M20" s="77"/>
      <c r="N20" s="75">
        <v>0.5</v>
      </c>
      <c r="O20" s="77"/>
      <c r="P20" s="75"/>
      <c r="Q20" s="77"/>
      <c r="R20" s="75"/>
      <c r="S20" s="77"/>
      <c r="T20" s="5"/>
      <c r="U20" s="6"/>
      <c r="V20" s="51"/>
      <c r="W20" s="7"/>
      <c r="X20" s="7"/>
    </row>
    <row r="21" spans="1:24" s="2" customFormat="1" ht="39.75" customHeight="1" thickBot="1" x14ac:dyDescent="0.35">
      <c r="A21" s="24">
        <v>15</v>
      </c>
      <c r="B21" s="55" t="s">
        <v>51</v>
      </c>
      <c r="C21" s="74"/>
      <c r="D21" s="75"/>
      <c r="E21" s="76"/>
      <c r="F21" s="75"/>
      <c r="G21" s="76"/>
      <c r="H21" s="75"/>
      <c r="I21" s="77"/>
      <c r="J21" s="75">
        <v>2</v>
      </c>
      <c r="K21" s="77">
        <v>0.25</v>
      </c>
      <c r="L21" s="75"/>
      <c r="M21" s="77"/>
      <c r="N21" s="75">
        <v>2</v>
      </c>
      <c r="O21" s="77">
        <v>0.5</v>
      </c>
      <c r="P21" s="75"/>
      <c r="Q21" s="77"/>
      <c r="R21" s="75">
        <v>4</v>
      </c>
      <c r="S21" s="77">
        <v>1.5</v>
      </c>
      <c r="T21" s="5"/>
      <c r="U21" s="6"/>
      <c r="V21" s="51"/>
      <c r="W21" s="7"/>
      <c r="X21" s="7"/>
    </row>
    <row r="22" spans="1:24" s="2" customFormat="1" ht="39.75" customHeight="1" thickBot="1" x14ac:dyDescent="0.35">
      <c r="A22" s="24">
        <v>16</v>
      </c>
      <c r="B22" s="55" t="s">
        <v>52</v>
      </c>
      <c r="C22" s="74"/>
      <c r="D22" s="75"/>
      <c r="E22" s="76"/>
      <c r="F22" s="75"/>
      <c r="G22" s="76"/>
      <c r="H22" s="75"/>
      <c r="I22" s="77"/>
      <c r="J22" s="75"/>
      <c r="K22" s="77">
        <v>0.5</v>
      </c>
      <c r="L22" s="75"/>
      <c r="M22" s="77"/>
      <c r="N22" s="75"/>
      <c r="O22" s="77">
        <v>0.5</v>
      </c>
      <c r="P22" s="75"/>
      <c r="Q22" s="77"/>
      <c r="R22" s="75">
        <v>2</v>
      </c>
      <c r="S22" s="77">
        <v>1</v>
      </c>
      <c r="T22" s="5"/>
      <c r="U22" s="6"/>
      <c r="V22" s="51"/>
      <c r="W22" s="7"/>
      <c r="X22" s="7"/>
    </row>
    <row r="23" spans="1:24" s="2" customFormat="1" ht="39.75" customHeight="1" thickBot="1" x14ac:dyDescent="0.35">
      <c r="A23" s="24">
        <v>17</v>
      </c>
      <c r="B23" s="55" t="s">
        <v>53</v>
      </c>
      <c r="C23" s="74"/>
      <c r="D23" s="75"/>
      <c r="E23" s="76">
        <v>1</v>
      </c>
      <c r="F23" s="75"/>
      <c r="G23" s="76"/>
      <c r="H23" s="75"/>
      <c r="I23" s="77"/>
      <c r="J23" s="75"/>
      <c r="K23" s="77">
        <v>1</v>
      </c>
      <c r="L23" s="75"/>
      <c r="M23" s="77"/>
      <c r="N23" s="75"/>
      <c r="O23" s="77">
        <v>1</v>
      </c>
      <c r="P23" s="75"/>
      <c r="Q23" s="77"/>
      <c r="R23" s="75"/>
      <c r="S23" s="77">
        <v>3</v>
      </c>
      <c r="T23" s="5"/>
      <c r="U23" s="6"/>
      <c r="V23" s="51"/>
      <c r="W23" s="7"/>
      <c r="X23" s="7"/>
    </row>
    <row r="24" spans="1:24" s="2" customFormat="1" ht="39.75" customHeight="1" thickBot="1" x14ac:dyDescent="0.35">
      <c r="A24" s="24">
        <v>18</v>
      </c>
      <c r="B24" s="55" t="s">
        <v>54</v>
      </c>
      <c r="C24" s="74"/>
      <c r="D24" s="75"/>
      <c r="E24" s="76"/>
      <c r="F24" s="75"/>
      <c r="G24" s="76"/>
      <c r="H24" s="75"/>
      <c r="I24" s="77"/>
      <c r="J24" s="75"/>
      <c r="K24" s="77"/>
      <c r="L24" s="75"/>
      <c r="M24" s="77"/>
      <c r="N24" s="75">
        <v>0.5</v>
      </c>
      <c r="O24" s="77"/>
      <c r="P24" s="75"/>
      <c r="Q24" s="77"/>
      <c r="R24" s="75">
        <v>0.5</v>
      </c>
      <c r="S24" s="77"/>
      <c r="T24" s="5"/>
      <c r="U24" s="6"/>
      <c r="V24" s="51"/>
      <c r="W24" s="7"/>
      <c r="X24" s="7"/>
    </row>
    <row r="25" spans="1:24" s="2" customFormat="1" ht="39.75" customHeight="1" thickBot="1" x14ac:dyDescent="0.35">
      <c r="A25" s="24">
        <v>19</v>
      </c>
      <c r="B25" s="55" t="s">
        <v>55</v>
      </c>
      <c r="C25" s="74"/>
      <c r="D25" s="75"/>
      <c r="E25" s="76"/>
      <c r="F25" s="75"/>
      <c r="G25" s="76"/>
      <c r="H25" s="75"/>
      <c r="I25" s="77"/>
      <c r="J25" s="75"/>
      <c r="K25" s="77"/>
      <c r="L25" s="75"/>
      <c r="M25" s="77"/>
      <c r="N25" s="75">
        <v>0.25</v>
      </c>
      <c r="O25" s="77"/>
      <c r="P25" s="75"/>
      <c r="Q25" s="77"/>
      <c r="R25" s="75"/>
      <c r="S25" s="77"/>
      <c r="T25" s="5"/>
      <c r="U25" s="6"/>
      <c r="V25" s="51"/>
      <c r="W25" s="7"/>
      <c r="X25" s="7"/>
    </row>
    <row r="26" spans="1:24" s="2" customFormat="1" ht="39.75" customHeight="1" thickBot="1" x14ac:dyDescent="0.35">
      <c r="A26" s="24">
        <v>20</v>
      </c>
      <c r="B26" s="55" t="s">
        <v>56</v>
      </c>
      <c r="C26" s="74"/>
      <c r="D26" s="75"/>
      <c r="E26" s="76"/>
      <c r="F26" s="75"/>
      <c r="G26" s="76"/>
      <c r="H26" s="75"/>
      <c r="I26" s="77"/>
      <c r="J26" s="75"/>
      <c r="K26" s="77"/>
      <c r="L26" s="75"/>
      <c r="M26" s="77"/>
      <c r="N26" s="75"/>
      <c r="O26" s="77"/>
      <c r="P26" s="75"/>
      <c r="Q26" s="77"/>
      <c r="R26" s="75">
        <v>0.5</v>
      </c>
      <c r="S26" s="77"/>
      <c r="T26" s="5"/>
      <c r="U26" s="6"/>
      <c r="V26" s="51"/>
      <c r="W26" s="7"/>
      <c r="X26" s="7"/>
    </row>
    <row r="27" spans="1:24" s="2" customFormat="1" ht="39.75" customHeight="1" thickBot="1" x14ac:dyDescent="0.35">
      <c r="A27" s="24">
        <v>21</v>
      </c>
      <c r="B27" s="55" t="s">
        <v>58</v>
      </c>
      <c r="C27" s="74"/>
      <c r="D27" s="75"/>
      <c r="E27" s="76"/>
      <c r="F27" s="75"/>
      <c r="G27" s="76"/>
      <c r="H27" s="75"/>
      <c r="I27" s="77"/>
      <c r="J27" s="75"/>
      <c r="K27" s="77"/>
      <c r="L27" s="75"/>
      <c r="M27" s="77"/>
      <c r="N27" s="75"/>
      <c r="O27" s="77"/>
      <c r="P27" s="75"/>
      <c r="Q27" s="77"/>
      <c r="R27" s="75">
        <v>1</v>
      </c>
      <c r="S27" s="77">
        <v>0.5</v>
      </c>
      <c r="T27" s="5"/>
      <c r="U27" s="6"/>
      <c r="V27" s="51"/>
      <c r="W27" s="7"/>
      <c r="X27" s="7"/>
    </row>
    <row r="28" spans="1:24" s="2" customFormat="1" ht="39.75" customHeight="1" thickBot="1" x14ac:dyDescent="0.35">
      <c r="A28" s="24">
        <v>22</v>
      </c>
      <c r="B28" s="55" t="s">
        <v>59</v>
      </c>
      <c r="C28" s="74"/>
      <c r="D28" s="75"/>
      <c r="E28" s="76"/>
      <c r="F28" s="75"/>
      <c r="G28" s="76"/>
      <c r="H28" s="75"/>
      <c r="I28" s="77"/>
      <c r="J28" s="75">
        <v>3</v>
      </c>
      <c r="K28" s="77"/>
      <c r="L28" s="75"/>
      <c r="M28" s="77"/>
      <c r="N28" s="75"/>
      <c r="O28" s="77"/>
      <c r="P28" s="75"/>
      <c r="Q28" s="77"/>
      <c r="R28" s="75">
        <v>3</v>
      </c>
      <c r="S28" s="77"/>
      <c r="T28" s="5"/>
      <c r="U28" s="6"/>
      <c r="V28" s="51"/>
      <c r="W28" s="7"/>
      <c r="X28" s="7"/>
    </row>
    <row r="29" spans="1:24" s="2" customFormat="1" ht="39.75" customHeight="1" thickBot="1" x14ac:dyDescent="0.35">
      <c r="A29" s="24">
        <v>23</v>
      </c>
      <c r="B29" s="55" t="s">
        <v>60</v>
      </c>
      <c r="C29" s="74"/>
      <c r="D29" s="75"/>
      <c r="E29" s="76"/>
      <c r="F29" s="75"/>
      <c r="G29" s="76"/>
      <c r="H29" s="75"/>
      <c r="I29" s="77"/>
      <c r="J29" s="75"/>
      <c r="K29" s="77">
        <v>0.25</v>
      </c>
      <c r="L29" s="75"/>
      <c r="M29" s="77"/>
      <c r="N29" s="75">
        <v>4</v>
      </c>
      <c r="O29" s="77">
        <v>0.25</v>
      </c>
      <c r="P29" s="75"/>
      <c r="Q29" s="77"/>
      <c r="R29" s="75">
        <v>4</v>
      </c>
      <c r="S29" s="77">
        <v>2</v>
      </c>
      <c r="T29" s="5"/>
      <c r="U29" s="6"/>
      <c r="V29" s="51"/>
      <c r="W29" s="7"/>
      <c r="X29" s="7"/>
    </row>
    <row r="30" spans="1:24" s="2" customFormat="1" ht="39.75" customHeight="1" thickBot="1" x14ac:dyDescent="0.35">
      <c r="A30" s="24">
        <v>24</v>
      </c>
      <c r="B30" s="55" t="s">
        <v>61</v>
      </c>
      <c r="C30" s="74"/>
      <c r="D30" s="75"/>
      <c r="E30" s="76"/>
      <c r="F30" s="75"/>
      <c r="G30" s="76"/>
      <c r="H30" s="75"/>
      <c r="I30" s="77"/>
      <c r="J30" s="75"/>
      <c r="K30" s="77"/>
      <c r="L30" s="75"/>
      <c r="M30" s="77"/>
      <c r="N30" s="75">
        <v>1</v>
      </c>
      <c r="O30" s="77"/>
      <c r="P30" s="75"/>
      <c r="Q30" s="77"/>
      <c r="R30" s="75">
        <v>1</v>
      </c>
      <c r="S30" s="77">
        <v>0.5</v>
      </c>
      <c r="T30" s="5"/>
      <c r="U30" s="6"/>
      <c r="V30" s="51"/>
      <c r="W30" s="7"/>
      <c r="X30" s="7"/>
    </row>
    <row r="31" spans="1:24" s="2" customFormat="1" ht="104.25" customHeight="1" thickBot="1" x14ac:dyDescent="0.35">
      <c r="A31" s="24">
        <v>25</v>
      </c>
      <c r="B31" s="55" t="s">
        <v>57</v>
      </c>
      <c r="C31" s="74"/>
      <c r="D31" s="75">
        <v>4</v>
      </c>
      <c r="E31" s="76">
        <v>0.5</v>
      </c>
      <c r="F31" s="75"/>
      <c r="G31" s="76"/>
      <c r="H31" s="75"/>
      <c r="I31" s="77"/>
      <c r="J31" s="75">
        <v>4</v>
      </c>
      <c r="K31" s="77">
        <v>1</v>
      </c>
      <c r="L31" s="75"/>
      <c r="M31" s="77"/>
      <c r="N31" s="75">
        <v>4</v>
      </c>
      <c r="O31" s="77">
        <v>1</v>
      </c>
      <c r="P31" s="75"/>
      <c r="Q31" s="77"/>
      <c r="R31" s="75">
        <v>4</v>
      </c>
      <c r="S31" s="77">
        <v>2</v>
      </c>
      <c r="T31" s="5"/>
      <c r="U31" s="6"/>
      <c r="V31" s="51"/>
      <c r="W31" s="7"/>
      <c r="X31" s="7"/>
    </row>
    <row r="32" spans="1:24" s="2" customFormat="1" ht="30" customHeight="1" thickBot="1" x14ac:dyDescent="0.35">
      <c r="A32" s="109" t="s">
        <v>31</v>
      </c>
      <c r="B32" s="110"/>
      <c r="C32" s="25"/>
      <c r="D32" s="26">
        <f>SUM(D7:D31)</f>
        <v>7</v>
      </c>
      <c r="E32" s="26">
        <f t="shared" ref="E32:S32" si="0">SUM(E7:E31)</f>
        <v>4</v>
      </c>
      <c r="F32" s="26">
        <f t="shared" si="0"/>
        <v>0</v>
      </c>
      <c r="G32" s="26">
        <f t="shared" si="0"/>
        <v>0</v>
      </c>
      <c r="H32" s="26">
        <f t="shared" si="0"/>
        <v>0</v>
      </c>
      <c r="I32" s="26">
        <f t="shared" si="0"/>
        <v>0</v>
      </c>
      <c r="J32" s="26">
        <f t="shared" si="0"/>
        <v>32</v>
      </c>
      <c r="K32" s="26">
        <f t="shared" si="0"/>
        <v>10.25</v>
      </c>
      <c r="L32" s="26">
        <f t="shared" si="0"/>
        <v>0</v>
      </c>
      <c r="M32" s="26">
        <f t="shared" si="0"/>
        <v>0</v>
      </c>
      <c r="N32" s="26">
        <f t="shared" si="0"/>
        <v>33.75</v>
      </c>
      <c r="O32" s="26">
        <f t="shared" si="0"/>
        <v>17.25</v>
      </c>
      <c r="P32" s="26">
        <f t="shared" si="0"/>
        <v>0</v>
      </c>
      <c r="Q32" s="26">
        <f t="shared" si="0"/>
        <v>0</v>
      </c>
      <c r="R32" s="26">
        <f t="shared" si="0"/>
        <v>46</v>
      </c>
      <c r="S32" s="26">
        <f t="shared" si="0"/>
        <v>35</v>
      </c>
      <c r="T32" s="8" t="e">
        <f>SUM(#REF!)</f>
        <v>#REF!</v>
      </c>
      <c r="U32" s="8" t="e">
        <f>SUM(#REF!)</f>
        <v>#REF!</v>
      </c>
      <c r="V32" s="3"/>
      <c r="W32" s="7"/>
      <c r="X32" s="7"/>
    </row>
    <row r="33" spans="1:24" s="2" customFormat="1" ht="30" customHeight="1" thickBot="1" x14ac:dyDescent="0.35">
      <c r="A33" s="109" t="s">
        <v>32</v>
      </c>
      <c r="B33" s="110"/>
      <c r="C33" s="25"/>
      <c r="D33" s="27">
        <f>D32/6</f>
        <v>1.1666666666666667</v>
      </c>
      <c r="E33" s="27">
        <f>E32/7.5</f>
        <v>0.53333333333333333</v>
      </c>
      <c r="F33" s="27">
        <f t="shared" ref="F33" si="1">F32/6</f>
        <v>0</v>
      </c>
      <c r="G33" s="27">
        <f t="shared" ref="G33" si="2">G32/7.5</f>
        <v>0</v>
      </c>
      <c r="H33" s="27">
        <f t="shared" ref="H33" si="3">H32/6</f>
        <v>0</v>
      </c>
      <c r="I33" s="27">
        <f t="shared" ref="I33" si="4">I32/7.5</f>
        <v>0</v>
      </c>
      <c r="J33" s="27">
        <f t="shared" ref="J33" si="5">J32/6</f>
        <v>5.333333333333333</v>
      </c>
      <c r="K33" s="27">
        <f t="shared" ref="K33" si="6">K32/7.5</f>
        <v>1.3666666666666667</v>
      </c>
      <c r="L33" s="27">
        <f t="shared" ref="L33" si="7">L32/6</f>
        <v>0</v>
      </c>
      <c r="M33" s="27">
        <f t="shared" ref="M33" si="8">M32/7.5</f>
        <v>0</v>
      </c>
      <c r="N33" s="27">
        <f t="shared" ref="N33" si="9">N32/6</f>
        <v>5.625</v>
      </c>
      <c r="O33" s="27">
        <f t="shared" ref="O33" si="10">O32/7.5</f>
        <v>2.2999999999999998</v>
      </c>
      <c r="P33" s="27">
        <f t="shared" ref="P33" si="11">P32/6</f>
        <v>0</v>
      </c>
      <c r="Q33" s="27">
        <f t="shared" ref="Q33" si="12">Q32/7.5</f>
        <v>0</v>
      </c>
      <c r="R33" s="27">
        <f t="shared" ref="R33" si="13">R32/6</f>
        <v>7.666666666666667</v>
      </c>
      <c r="S33" s="27">
        <f t="shared" ref="S33" si="14">S32/7.5</f>
        <v>4.666666666666667</v>
      </c>
      <c r="T33" s="9" t="e">
        <f t="shared" ref="T33" si="15">T32/6</f>
        <v>#REF!</v>
      </c>
      <c r="U33" s="9" t="e">
        <f t="shared" ref="U33" si="16">U32/7.5</f>
        <v>#REF!</v>
      </c>
      <c r="V33" s="3"/>
      <c r="W33" s="7"/>
      <c r="X33" s="7"/>
    </row>
    <row r="34" spans="1:24" s="2" customFormat="1" ht="30" customHeight="1" thickBot="1" x14ac:dyDescent="0.35">
      <c r="A34" s="111" t="s">
        <v>34</v>
      </c>
      <c r="B34" s="112"/>
      <c r="C34" s="28"/>
      <c r="D34" s="113">
        <f>D33+E33</f>
        <v>1.7000000000000002</v>
      </c>
      <c r="E34" s="114"/>
      <c r="F34" s="115">
        <f t="shared" ref="F34" si="17">F33+G33</f>
        <v>0</v>
      </c>
      <c r="G34" s="114"/>
      <c r="H34" s="115">
        <f t="shared" ref="H34" si="18">H33+I33</f>
        <v>0</v>
      </c>
      <c r="I34" s="114"/>
      <c r="J34" s="113">
        <f t="shared" ref="J34" si="19">J33+K33</f>
        <v>6.6999999999999993</v>
      </c>
      <c r="K34" s="114"/>
      <c r="L34" s="115">
        <f t="shared" ref="L34" si="20">L33+M33</f>
        <v>0</v>
      </c>
      <c r="M34" s="114"/>
      <c r="N34" s="115">
        <f t="shared" ref="N34" si="21">N33+O33</f>
        <v>7.9249999999999998</v>
      </c>
      <c r="O34" s="114"/>
      <c r="P34" s="115">
        <f t="shared" ref="P34" si="22">P33+Q33</f>
        <v>0</v>
      </c>
      <c r="Q34" s="114"/>
      <c r="R34" s="115">
        <f t="shared" ref="R34" si="23">R33+S33</f>
        <v>12.333333333333334</v>
      </c>
      <c r="S34" s="114"/>
      <c r="T34" s="116" t="e">
        <f t="shared" ref="T34" si="24">T33+U33</f>
        <v>#REF!</v>
      </c>
      <c r="U34" s="117"/>
      <c r="V34" s="3"/>
      <c r="W34" s="7"/>
      <c r="X34" s="7"/>
    </row>
    <row r="35" spans="1:24" s="2" customFormat="1" ht="18.600000000000001" thickBot="1" x14ac:dyDescent="0.4">
      <c r="A35" s="118" t="s">
        <v>4</v>
      </c>
      <c r="B35" s="119"/>
      <c r="C35" s="118"/>
      <c r="D35" s="122" t="s">
        <v>1</v>
      </c>
      <c r="E35" s="123"/>
      <c r="F35" s="123"/>
      <c r="G35" s="124"/>
      <c r="H35" s="123"/>
      <c r="I35" s="124"/>
      <c r="J35" s="122" t="s">
        <v>33</v>
      </c>
      <c r="K35" s="123"/>
      <c r="L35" s="123"/>
      <c r="M35" s="124"/>
      <c r="N35" s="122" t="s">
        <v>27</v>
      </c>
      <c r="O35" s="123"/>
      <c r="P35" s="123"/>
      <c r="Q35" s="124"/>
      <c r="R35" s="140"/>
      <c r="S35" s="125"/>
      <c r="T35" s="125"/>
      <c r="U35" s="126"/>
      <c r="V35" s="3"/>
      <c r="W35" s="7"/>
      <c r="X35" s="7"/>
    </row>
    <row r="36" spans="1:24" s="2" customFormat="1" ht="22.2" customHeight="1" thickBot="1" x14ac:dyDescent="0.35">
      <c r="A36" s="120"/>
      <c r="B36" s="121"/>
      <c r="C36" s="120"/>
      <c r="D36" s="11" t="s">
        <v>2</v>
      </c>
      <c r="E36" s="12" t="s">
        <v>3</v>
      </c>
      <c r="F36" s="11" t="s">
        <v>2</v>
      </c>
      <c r="G36" s="12" t="s">
        <v>3</v>
      </c>
      <c r="H36" s="13" t="s">
        <v>2</v>
      </c>
      <c r="I36" s="14" t="s">
        <v>3</v>
      </c>
      <c r="J36" s="4" t="s">
        <v>2</v>
      </c>
      <c r="K36" s="15" t="s">
        <v>3</v>
      </c>
      <c r="L36" s="13" t="s">
        <v>2</v>
      </c>
      <c r="M36" s="14" t="s">
        <v>3</v>
      </c>
      <c r="N36" s="4" t="s">
        <v>2</v>
      </c>
      <c r="O36" s="15" t="s">
        <v>3</v>
      </c>
      <c r="P36" s="13" t="s">
        <v>2</v>
      </c>
      <c r="Q36" s="14" t="s">
        <v>3</v>
      </c>
      <c r="R36" s="13" t="s">
        <v>2</v>
      </c>
      <c r="S36" s="16" t="s">
        <v>3</v>
      </c>
      <c r="T36" s="13" t="s">
        <v>2</v>
      </c>
      <c r="U36" s="14" t="s">
        <v>3</v>
      </c>
      <c r="V36" s="3"/>
      <c r="W36" s="7"/>
      <c r="X36" s="7"/>
    </row>
    <row r="37" spans="1:24" s="84" customFormat="1" ht="39.6" customHeight="1" thickBot="1" x14ac:dyDescent="0.35">
      <c r="A37" s="78">
        <v>1</v>
      </c>
      <c r="B37" s="31" t="s">
        <v>29</v>
      </c>
      <c r="C37" s="32"/>
      <c r="D37" s="79">
        <v>0</v>
      </c>
      <c r="E37" s="80">
        <v>0</v>
      </c>
      <c r="F37" s="79"/>
      <c r="G37" s="80"/>
      <c r="H37" s="79"/>
      <c r="I37" s="81"/>
      <c r="J37" s="79">
        <v>0</v>
      </c>
      <c r="K37" s="81">
        <v>1</v>
      </c>
      <c r="L37" s="79"/>
      <c r="M37" s="81"/>
      <c r="N37" s="79">
        <v>0</v>
      </c>
      <c r="O37" s="81">
        <v>3</v>
      </c>
      <c r="P37" s="79"/>
      <c r="Q37" s="81"/>
      <c r="R37" s="79">
        <v>0</v>
      </c>
      <c r="S37" s="81">
        <v>2</v>
      </c>
      <c r="T37" s="79"/>
      <c r="U37" s="81"/>
      <c r="V37" s="82"/>
      <c r="W37" s="83"/>
      <c r="X37" s="83"/>
    </row>
    <row r="38" spans="1:24" s="84" customFormat="1" ht="30" customHeight="1" thickBot="1" x14ac:dyDescent="0.35">
      <c r="A38" s="85">
        <v>2</v>
      </c>
      <c r="B38" s="31" t="s">
        <v>28</v>
      </c>
      <c r="C38" s="32"/>
      <c r="D38" s="79">
        <v>0</v>
      </c>
      <c r="E38" s="80">
        <v>0</v>
      </c>
      <c r="F38" s="79"/>
      <c r="G38" s="80"/>
      <c r="H38" s="79"/>
      <c r="I38" s="81"/>
      <c r="J38" s="79">
        <v>0</v>
      </c>
      <c r="K38" s="81">
        <v>0</v>
      </c>
      <c r="L38" s="79"/>
      <c r="M38" s="81"/>
      <c r="N38" s="79">
        <v>0</v>
      </c>
      <c r="O38" s="81"/>
      <c r="P38" s="79"/>
      <c r="Q38" s="81"/>
      <c r="R38" s="79">
        <v>0</v>
      </c>
      <c r="S38" s="81">
        <v>3</v>
      </c>
      <c r="T38" s="79"/>
      <c r="U38" s="81"/>
      <c r="V38" s="82"/>
      <c r="W38" s="83"/>
      <c r="X38" s="83"/>
    </row>
    <row r="39" spans="1:24" s="84" customFormat="1" ht="30" customHeight="1" thickBot="1" x14ac:dyDescent="0.35">
      <c r="A39" s="85">
        <v>3</v>
      </c>
      <c r="B39" s="31" t="s">
        <v>5</v>
      </c>
      <c r="C39" s="32"/>
      <c r="D39" s="79">
        <v>0</v>
      </c>
      <c r="E39" s="80">
        <v>0</v>
      </c>
      <c r="F39" s="79"/>
      <c r="G39" s="80"/>
      <c r="H39" s="79"/>
      <c r="I39" s="81"/>
      <c r="J39" s="79">
        <v>0</v>
      </c>
      <c r="K39" s="81">
        <v>0.5</v>
      </c>
      <c r="L39" s="79"/>
      <c r="M39" s="81"/>
      <c r="N39" s="79">
        <v>0</v>
      </c>
      <c r="O39" s="81">
        <v>0.5</v>
      </c>
      <c r="P39" s="79"/>
      <c r="Q39" s="81"/>
      <c r="R39" s="79">
        <v>0</v>
      </c>
      <c r="S39" s="81">
        <v>1.5</v>
      </c>
      <c r="T39" s="79"/>
      <c r="U39" s="81"/>
      <c r="V39" s="82"/>
      <c r="W39" s="83"/>
      <c r="X39" s="83"/>
    </row>
    <row r="40" spans="1:24" s="84" customFormat="1" ht="30" customHeight="1" thickBot="1" x14ac:dyDescent="0.35">
      <c r="A40" s="86">
        <v>4</v>
      </c>
      <c r="B40" s="31" t="s">
        <v>6</v>
      </c>
      <c r="C40" s="32"/>
      <c r="D40" s="79">
        <v>0</v>
      </c>
      <c r="E40" s="80">
        <v>0</v>
      </c>
      <c r="F40" s="79"/>
      <c r="G40" s="80"/>
      <c r="H40" s="79"/>
      <c r="I40" s="81"/>
      <c r="J40" s="79">
        <v>0</v>
      </c>
      <c r="K40" s="81">
        <v>0.5</v>
      </c>
      <c r="L40" s="79"/>
      <c r="M40" s="81"/>
      <c r="N40" s="79">
        <v>0</v>
      </c>
      <c r="O40" s="81">
        <v>0.5</v>
      </c>
      <c r="P40" s="79"/>
      <c r="Q40" s="81"/>
      <c r="R40" s="79">
        <v>0</v>
      </c>
      <c r="S40" s="81">
        <v>0.5</v>
      </c>
      <c r="T40" s="79"/>
      <c r="U40" s="81"/>
      <c r="V40" s="82"/>
      <c r="W40" s="83"/>
      <c r="X40" s="83"/>
    </row>
    <row r="41" spans="1:24" s="84" customFormat="1" ht="30" customHeight="1" thickBot="1" x14ac:dyDescent="0.35">
      <c r="A41" s="85">
        <v>5</v>
      </c>
      <c r="B41" s="31" t="s">
        <v>22</v>
      </c>
      <c r="C41" s="32"/>
      <c r="D41" s="79">
        <v>0</v>
      </c>
      <c r="E41" s="80">
        <v>0</v>
      </c>
      <c r="F41" s="79"/>
      <c r="G41" s="80"/>
      <c r="H41" s="79"/>
      <c r="I41" s="81"/>
      <c r="J41" s="79">
        <v>0</v>
      </c>
      <c r="K41" s="81">
        <v>1</v>
      </c>
      <c r="L41" s="79"/>
      <c r="M41" s="81"/>
      <c r="N41" s="79">
        <v>0</v>
      </c>
      <c r="O41" s="81"/>
      <c r="P41" s="79"/>
      <c r="Q41" s="81"/>
      <c r="R41" s="79">
        <v>0</v>
      </c>
      <c r="S41" s="81">
        <v>1</v>
      </c>
      <c r="T41" s="79"/>
      <c r="U41" s="81"/>
      <c r="V41" s="82"/>
      <c r="W41" s="83"/>
      <c r="X41" s="83"/>
    </row>
    <row r="42" spans="1:24" s="84" customFormat="1" ht="36" customHeight="1" thickBot="1" x14ac:dyDescent="0.35">
      <c r="A42" s="86">
        <v>6</v>
      </c>
      <c r="B42" s="31" t="s">
        <v>30</v>
      </c>
      <c r="C42" s="32"/>
      <c r="D42" s="79">
        <v>0</v>
      </c>
      <c r="E42" s="80">
        <v>0</v>
      </c>
      <c r="F42" s="79"/>
      <c r="G42" s="80"/>
      <c r="H42" s="79"/>
      <c r="I42" s="81"/>
      <c r="J42" s="79">
        <v>0</v>
      </c>
      <c r="K42" s="81">
        <v>0</v>
      </c>
      <c r="L42" s="79"/>
      <c r="M42" s="81"/>
      <c r="N42" s="79">
        <v>0</v>
      </c>
      <c r="O42" s="81">
        <v>0</v>
      </c>
      <c r="P42" s="79"/>
      <c r="Q42" s="81"/>
      <c r="R42" s="79">
        <v>0</v>
      </c>
      <c r="S42" s="81">
        <v>0</v>
      </c>
      <c r="T42" s="79"/>
      <c r="U42" s="81"/>
      <c r="V42" s="82"/>
      <c r="W42" s="83"/>
      <c r="X42" s="83"/>
    </row>
    <row r="43" spans="1:24" s="84" customFormat="1" ht="30" customHeight="1" thickBot="1" x14ac:dyDescent="0.35">
      <c r="A43" s="85">
        <v>7</v>
      </c>
      <c r="B43" s="31" t="s">
        <v>23</v>
      </c>
      <c r="C43" s="32"/>
      <c r="D43" s="79">
        <v>0</v>
      </c>
      <c r="E43" s="80">
        <v>0</v>
      </c>
      <c r="F43" s="79"/>
      <c r="G43" s="80"/>
      <c r="H43" s="79"/>
      <c r="I43" s="81"/>
      <c r="J43" s="79">
        <v>0</v>
      </c>
      <c r="K43" s="81">
        <v>1</v>
      </c>
      <c r="L43" s="79"/>
      <c r="M43" s="81"/>
      <c r="N43" s="79">
        <v>0</v>
      </c>
      <c r="O43" s="81"/>
      <c r="P43" s="79"/>
      <c r="Q43" s="81"/>
      <c r="R43" s="79">
        <v>0</v>
      </c>
      <c r="S43" s="81">
        <v>4</v>
      </c>
      <c r="T43" s="79"/>
      <c r="U43" s="81"/>
      <c r="V43" s="82"/>
      <c r="W43" s="83"/>
      <c r="X43" s="83"/>
    </row>
    <row r="44" spans="1:24" s="84" customFormat="1" ht="30" customHeight="1" thickBot="1" x14ac:dyDescent="0.35">
      <c r="A44" s="86">
        <v>8</v>
      </c>
      <c r="B44" s="31" t="s">
        <v>26</v>
      </c>
      <c r="C44" s="32"/>
      <c r="D44" s="79">
        <v>0</v>
      </c>
      <c r="E44" s="80">
        <v>0</v>
      </c>
      <c r="F44" s="79"/>
      <c r="G44" s="80"/>
      <c r="H44" s="79"/>
      <c r="I44" s="81"/>
      <c r="J44" s="79">
        <v>0</v>
      </c>
      <c r="K44" s="81">
        <v>0</v>
      </c>
      <c r="L44" s="79"/>
      <c r="M44" s="81"/>
      <c r="N44" s="79">
        <v>0</v>
      </c>
      <c r="O44" s="81">
        <v>0.5</v>
      </c>
      <c r="P44" s="79"/>
      <c r="Q44" s="81"/>
      <c r="R44" s="79">
        <v>0</v>
      </c>
      <c r="S44" s="81">
        <v>0.5</v>
      </c>
      <c r="T44" s="79"/>
      <c r="U44" s="81"/>
      <c r="V44" s="82"/>
      <c r="W44" s="83"/>
      <c r="X44" s="83"/>
    </row>
    <row r="45" spans="1:24" s="84" customFormat="1" ht="36" customHeight="1" thickBot="1" x14ac:dyDescent="0.35">
      <c r="A45" s="85">
        <v>9</v>
      </c>
      <c r="B45" s="31" t="s">
        <v>24</v>
      </c>
      <c r="C45" s="32"/>
      <c r="D45" s="79">
        <v>0</v>
      </c>
      <c r="E45" s="80">
        <v>0</v>
      </c>
      <c r="F45" s="79"/>
      <c r="G45" s="80"/>
      <c r="H45" s="79"/>
      <c r="I45" s="81"/>
      <c r="J45" s="79">
        <v>0</v>
      </c>
      <c r="K45" s="81">
        <v>0</v>
      </c>
      <c r="L45" s="79"/>
      <c r="M45" s="81"/>
      <c r="N45" s="79">
        <v>0</v>
      </c>
      <c r="O45" s="81">
        <v>0.5</v>
      </c>
      <c r="P45" s="79"/>
      <c r="Q45" s="81"/>
      <c r="R45" s="79">
        <v>0</v>
      </c>
      <c r="S45" s="81">
        <v>0.5</v>
      </c>
      <c r="T45" s="79"/>
      <c r="U45" s="81"/>
      <c r="V45" s="82"/>
      <c r="W45" s="83"/>
      <c r="X45" s="83"/>
    </row>
    <row r="46" spans="1:24" s="84" customFormat="1" ht="30" customHeight="1" thickBot="1" x14ac:dyDescent="0.35">
      <c r="A46" s="86">
        <v>10</v>
      </c>
      <c r="B46" s="31" t="s">
        <v>7</v>
      </c>
      <c r="C46" s="32"/>
      <c r="D46" s="79">
        <v>0</v>
      </c>
      <c r="E46" s="80">
        <v>0</v>
      </c>
      <c r="F46" s="79"/>
      <c r="G46" s="80"/>
      <c r="H46" s="79"/>
      <c r="I46" s="81"/>
      <c r="J46" s="79">
        <v>0</v>
      </c>
      <c r="K46" s="81">
        <v>0</v>
      </c>
      <c r="L46" s="79"/>
      <c r="M46" s="81"/>
      <c r="N46" s="79">
        <v>0</v>
      </c>
      <c r="O46" s="81">
        <v>0</v>
      </c>
      <c r="P46" s="79"/>
      <c r="Q46" s="81"/>
      <c r="R46" s="79">
        <v>0</v>
      </c>
      <c r="S46" s="81">
        <v>0</v>
      </c>
      <c r="T46" s="79"/>
      <c r="U46" s="81"/>
      <c r="V46" s="82"/>
      <c r="W46" s="82"/>
      <c r="X46" s="82"/>
    </row>
    <row r="47" spans="1:24" s="49" customFormat="1" ht="30" customHeight="1" thickBot="1" x14ac:dyDescent="0.35">
      <c r="A47" s="109" t="s">
        <v>16</v>
      </c>
      <c r="B47" s="127"/>
      <c r="C47" s="48"/>
      <c r="D47" s="41">
        <f t="shared" ref="D47:U47" si="25">SUM(D37:D46)</f>
        <v>0</v>
      </c>
      <c r="E47" s="41">
        <f t="shared" si="25"/>
        <v>0</v>
      </c>
      <c r="F47" s="41">
        <f t="shared" si="25"/>
        <v>0</v>
      </c>
      <c r="G47" s="41">
        <f t="shared" si="25"/>
        <v>0</v>
      </c>
      <c r="H47" s="41">
        <f t="shared" si="25"/>
        <v>0</v>
      </c>
      <c r="I47" s="41">
        <f t="shared" si="25"/>
        <v>0</v>
      </c>
      <c r="J47" s="41">
        <f t="shared" si="25"/>
        <v>0</v>
      </c>
      <c r="K47" s="41">
        <f t="shared" si="25"/>
        <v>4</v>
      </c>
      <c r="L47" s="41">
        <f t="shared" si="25"/>
        <v>0</v>
      </c>
      <c r="M47" s="41">
        <f t="shared" si="25"/>
        <v>0</v>
      </c>
      <c r="N47" s="41">
        <f t="shared" si="25"/>
        <v>0</v>
      </c>
      <c r="O47" s="41">
        <f t="shared" si="25"/>
        <v>5</v>
      </c>
      <c r="P47" s="41">
        <f t="shared" si="25"/>
        <v>0</v>
      </c>
      <c r="Q47" s="41">
        <f t="shared" si="25"/>
        <v>0</v>
      </c>
      <c r="R47" s="41">
        <f t="shared" si="25"/>
        <v>0</v>
      </c>
      <c r="S47" s="41">
        <f t="shared" si="25"/>
        <v>13</v>
      </c>
      <c r="T47" s="41">
        <f t="shared" si="25"/>
        <v>0</v>
      </c>
      <c r="U47" s="41">
        <f t="shared" si="25"/>
        <v>0</v>
      </c>
      <c r="V47" s="42"/>
      <c r="W47" s="42"/>
      <c r="X47" s="42"/>
    </row>
    <row r="48" spans="1:24" s="49" customFormat="1" ht="30" customHeight="1" thickBot="1" x14ac:dyDescent="0.35">
      <c r="A48" s="109" t="s">
        <v>17</v>
      </c>
      <c r="B48" s="110"/>
      <c r="C48" s="25"/>
      <c r="D48" s="27">
        <f>D47/6</f>
        <v>0</v>
      </c>
      <c r="E48" s="27">
        <f>E47/7.5</f>
        <v>0</v>
      </c>
      <c r="F48" s="27">
        <f t="shared" ref="F48" si="26">F47/6</f>
        <v>0</v>
      </c>
      <c r="G48" s="27">
        <f t="shared" ref="G48" si="27">G47/7.5</f>
        <v>0</v>
      </c>
      <c r="H48" s="27">
        <f t="shared" ref="H48" si="28">H47/6</f>
        <v>0</v>
      </c>
      <c r="I48" s="27">
        <f t="shared" ref="I48" si="29">I47/7.5</f>
        <v>0</v>
      </c>
      <c r="J48" s="27">
        <f t="shared" ref="J48" si="30">J47/6</f>
        <v>0</v>
      </c>
      <c r="K48" s="27">
        <f t="shared" ref="K48" si="31">K47/7.5</f>
        <v>0.53333333333333333</v>
      </c>
      <c r="L48" s="27">
        <f t="shared" ref="L48" si="32">L47/6</f>
        <v>0</v>
      </c>
      <c r="M48" s="27">
        <f t="shared" ref="M48" si="33">M47/7.5</f>
        <v>0</v>
      </c>
      <c r="N48" s="27">
        <f t="shared" ref="N48" si="34">N47/6</f>
        <v>0</v>
      </c>
      <c r="O48" s="27">
        <f t="shared" ref="O48" si="35">O47/7.5</f>
        <v>0.66666666666666663</v>
      </c>
      <c r="P48" s="27">
        <f t="shared" ref="P48" si="36">P47/6</f>
        <v>0</v>
      </c>
      <c r="Q48" s="27">
        <f t="shared" ref="Q48" si="37">Q47/7.5</f>
        <v>0</v>
      </c>
      <c r="R48" s="27">
        <f t="shared" ref="R48" si="38">R47/6</f>
        <v>0</v>
      </c>
      <c r="S48" s="27">
        <f t="shared" ref="S48" si="39">S47/7.5</f>
        <v>1.7333333333333334</v>
      </c>
      <c r="T48" s="27">
        <f t="shared" ref="T48" si="40">T47/6</f>
        <v>0</v>
      </c>
      <c r="U48" s="27">
        <f t="shared" ref="U48" si="41">U47/7.5</f>
        <v>0</v>
      </c>
      <c r="V48" s="42"/>
      <c r="W48" s="42"/>
      <c r="X48" s="42"/>
    </row>
    <row r="49" spans="1:24" s="49" customFormat="1" ht="30" customHeight="1" thickBot="1" x14ac:dyDescent="0.35">
      <c r="A49" s="111" t="s">
        <v>35</v>
      </c>
      <c r="B49" s="112"/>
      <c r="C49" s="28"/>
      <c r="D49" s="113">
        <f>D48+E48</f>
        <v>0</v>
      </c>
      <c r="E49" s="114"/>
      <c r="F49" s="115">
        <f t="shared" ref="F49" si="42">F48+G48</f>
        <v>0</v>
      </c>
      <c r="G49" s="114"/>
      <c r="H49" s="115">
        <f t="shared" ref="H49" si="43">H48+I48</f>
        <v>0</v>
      </c>
      <c r="I49" s="114"/>
      <c r="J49" s="113">
        <f t="shared" ref="J49" si="44">J48+K48</f>
        <v>0.53333333333333333</v>
      </c>
      <c r="K49" s="114"/>
      <c r="L49" s="115">
        <f t="shared" ref="L49" si="45">L48+M48</f>
        <v>0</v>
      </c>
      <c r="M49" s="114"/>
      <c r="N49" s="115">
        <f t="shared" ref="N49" si="46">N48+O48</f>
        <v>0.66666666666666663</v>
      </c>
      <c r="O49" s="114"/>
      <c r="P49" s="115">
        <f t="shared" ref="P49" si="47">P48+Q48</f>
        <v>0</v>
      </c>
      <c r="Q49" s="114"/>
      <c r="R49" s="115">
        <f t="shared" ref="R49" si="48">R48+S48</f>
        <v>1.7333333333333334</v>
      </c>
      <c r="S49" s="114"/>
      <c r="T49" s="115">
        <f t="shared" ref="T49" si="49">T48+U48</f>
        <v>0</v>
      </c>
      <c r="U49" s="114"/>
      <c r="V49" s="42"/>
      <c r="W49" s="42"/>
      <c r="X49" s="42"/>
    </row>
    <row r="50" spans="1:24" s="50" customFormat="1" ht="30" customHeight="1" thickBot="1" x14ac:dyDescent="0.35">
      <c r="A50" s="131" t="s">
        <v>13</v>
      </c>
      <c r="B50" s="132"/>
      <c r="C50" s="26"/>
      <c r="D50" s="41">
        <f>SUM(D32,D47)</f>
        <v>7</v>
      </c>
      <c r="E50" s="41">
        <f t="shared" ref="E50:S50" si="50">SUM(E32,E47)</f>
        <v>4</v>
      </c>
      <c r="F50" s="41">
        <f t="shared" si="50"/>
        <v>0</v>
      </c>
      <c r="G50" s="41">
        <f t="shared" si="50"/>
        <v>0</v>
      </c>
      <c r="H50" s="41">
        <f t="shared" si="50"/>
        <v>0</v>
      </c>
      <c r="I50" s="41">
        <f t="shared" si="50"/>
        <v>0</v>
      </c>
      <c r="J50" s="41">
        <f t="shared" si="50"/>
        <v>32</v>
      </c>
      <c r="K50" s="41">
        <f t="shared" si="50"/>
        <v>14.25</v>
      </c>
      <c r="L50" s="41">
        <f t="shared" si="50"/>
        <v>0</v>
      </c>
      <c r="M50" s="41">
        <f t="shared" si="50"/>
        <v>0</v>
      </c>
      <c r="N50" s="41">
        <f t="shared" si="50"/>
        <v>33.75</v>
      </c>
      <c r="O50" s="41">
        <f t="shared" si="50"/>
        <v>22.25</v>
      </c>
      <c r="P50" s="41">
        <f t="shared" si="50"/>
        <v>0</v>
      </c>
      <c r="Q50" s="41">
        <f t="shared" si="50"/>
        <v>0</v>
      </c>
      <c r="R50" s="41">
        <f t="shared" si="50"/>
        <v>46</v>
      </c>
      <c r="S50" s="41">
        <f t="shared" si="50"/>
        <v>48</v>
      </c>
      <c r="T50" s="17" t="e">
        <f>SUM(T32,#REF!,T47)</f>
        <v>#REF!</v>
      </c>
      <c r="U50" s="17" t="e">
        <f>SUM(U32,#REF!,U47)</f>
        <v>#REF!</v>
      </c>
      <c r="V50" s="3"/>
      <c r="W50" s="3"/>
      <c r="X50" s="3"/>
    </row>
    <row r="51" spans="1:24" s="50" customFormat="1" ht="30" customHeight="1" thickBot="1" x14ac:dyDescent="0.35">
      <c r="A51" s="131" t="s">
        <v>15</v>
      </c>
      <c r="B51" s="132"/>
      <c r="C51" s="26"/>
      <c r="D51" s="27">
        <f>D50/6</f>
        <v>1.1666666666666667</v>
      </c>
      <c r="E51" s="43">
        <f>E50/7.5</f>
        <v>0.53333333333333333</v>
      </c>
      <c r="F51" s="27">
        <f t="shared" ref="F51" si="51">F50/6</f>
        <v>0</v>
      </c>
      <c r="G51" s="43">
        <f t="shared" ref="G51" si="52">G50/7.5</f>
        <v>0</v>
      </c>
      <c r="H51" s="27">
        <f t="shared" ref="H51" si="53">H50/6</f>
        <v>0</v>
      </c>
      <c r="I51" s="43">
        <f t="shared" ref="I51" si="54">I50/7.5</f>
        <v>0</v>
      </c>
      <c r="J51" s="27">
        <f t="shared" ref="J51" si="55">J50/6</f>
        <v>5.333333333333333</v>
      </c>
      <c r="K51" s="43">
        <f t="shared" ref="K51" si="56">K50/7.5</f>
        <v>1.9</v>
      </c>
      <c r="L51" s="27">
        <f t="shared" ref="L51" si="57">L50/6</f>
        <v>0</v>
      </c>
      <c r="M51" s="43">
        <f t="shared" ref="M51" si="58">M50/7.5</f>
        <v>0</v>
      </c>
      <c r="N51" s="27">
        <f t="shared" ref="N51" si="59">N50/6</f>
        <v>5.625</v>
      </c>
      <c r="O51" s="43">
        <f t="shared" ref="O51" si="60">O50/7.5</f>
        <v>2.9666666666666668</v>
      </c>
      <c r="P51" s="27">
        <f t="shared" ref="P51" si="61">P50/6</f>
        <v>0</v>
      </c>
      <c r="Q51" s="43">
        <f t="shared" ref="Q51" si="62">Q50/7.5</f>
        <v>0</v>
      </c>
      <c r="R51" s="27">
        <f t="shared" ref="R51" si="63">R50/6</f>
        <v>7.666666666666667</v>
      </c>
      <c r="S51" s="43">
        <f t="shared" ref="S51" si="64">S50/7.5</f>
        <v>6.4</v>
      </c>
      <c r="T51" s="9" t="e">
        <f t="shared" ref="T51" si="65">T50/6</f>
        <v>#REF!</v>
      </c>
      <c r="U51" s="18" t="e">
        <f t="shared" ref="U51" si="66">U50/7.5</f>
        <v>#REF!</v>
      </c>
      <c r="V51" s="3"/>
      <c r="W51" s="3"/>
      <c r="X51" s="3"/>
    </row>
    <row r="52" spans="1:24" s="50" customFormat="1" ht="30" customHeight="1" thickBot="1" x14ac:dyDescent="0.35">
      <c r="A52" s="122" t="s">
        <v>36</v>
      </c>
      <c r="B52" s="123"/>
      <c r="C52" s="10"/>
      <c r="D52" s="130">
        <f>D51+E51</f>
        <v>1.7000000000000002</v>
      </c>
      <c r="E52" s="129"/>
      <c r="F52" s="128">
        <f t="shared" ref="F52" si="67">F51+G51</f>
        <v>0</v>
      </c>
      <c r="G52" s="129"/>
      <c r="H52" s="128">
        <f t="shared" ref="H52" si="68">H51+I51</f>
        <v>0</v>
      </c>
      <c r="I52" s="129"/>
      <c r="J52" s="130">
        <f t="shared" ref="J52" si="69">J51+K51</f>
        <v>7.2333333333333325</v>
      </c>
      <c r="K52" s="129"/>
      <c r="L52" s="128">
        <f t="shared" ref="L52" si="70">L51+M51</f>
        <v>0</v>
      </c>
      <c r="M52" s="129"/>
      <c r="N52" s="128">
        <f t="shared" ref="N52" si="71">N51+O51</f>
        <v>8.5916666666666668</v>
      </c>
      <c r="O52" s="129"/>
      <c r="P52" s="128">
        <f t="shared" ref="P52" si="72">P51+Q51</f>
        <v>0</v>
      </c>
      <c r="Q52" s="129"/>
      <c r="R52" s="128">
        <f t="shared" ref="R52" si="73">R51+S51</f>
        <v>14.066666666666666</v>
      </c>
      <c r="S52" s="129"/>
      <c r="T52" s="138" t="e">
        <f t="shared" ref="T52" si="74">T51+U51</f>
        <v>#REF!</v>
      </c>
      <c r="U52" s="139"/>
      <c r="V52" s="3"/>
      <c r="W52" s="3"/>
      <c r="X52" s="3"/>
    </row>
    <row r="53" spans="1:24" s="50" customFormat="1" ht="30" customHeight="1" thickBot="1" x14ac:dyDescent="0.35">
      <c r="A53" s="135" t="s">
        <v>8</v>
      </c>
      <c r="B53" s="137"/>
      <c r="C53" s="44"/>
      <c r="D53" s="46"/>
      <c r="E53" s="46"/>
      <c r="F53" s="45"/>
      <c r="G53" s="46"/>
      <c r="H53" s="45"/>
      <c r="I53" s="46"/>
      <c r="J53" s="29"/>
      <c r="K53" s="47"/>
      <c r="L53" s="45"/>
      <c r="M53" s="46"/>
      <c r="N53" s="45"/>
      <c r="O53" s="46"/>
      <c r="P53" s="45"/>
      <c r="Q53" s="46"/>
      <c r="R53" s="45"/>
      <c r="S53" s="46"/>
      <c r="T53" s="20">
        <v>0</v>
      </c>
      <c r="U53" s="19">
        <v>0</v>
      </c>
      <c r="V53" s="3"/>
      <c r="W53" s="3"/>
      <c r="X53" s="3"/>
    </row>
    <row r="54" spans="1:24" s="50" customFormat="1" ht="30" customHeight="1" thickBot="1" x14ac:dyDescent="0.35">
      <c r="A54" s="135" t="s">
        <v>9</v>
      </c>
      <c r="B54" s="136"/>
      <c r="C54" s="44"/>
      <c r="D54" s="113"/>
      <c r="E54" s="114"/>
      <c r="F54" s="113"/>
      <c r="G54" s="114"/>
      <c r="H54" s="113"/>
      <c r="I54" s="114"/>
      <c r="J54" s="113"/>
      <c r="K54" s="114"/>
      <c r="L54" s="113"/>
      <c r="M54" s="114"/>
      <c r="N54" s="113"/>
      <c r="O54" s="114"/>
      <c r="P54" s="113"/>
      <c r="Q54" s="114"/>
      <c r="R54" s="113"/>
      <c r="S54" s="114"/>
      <c r="T54" s="133">
        <f>T53+U53</f>
        <v>0</v>
      </c>
      <c r="U54" s="134"/>
      <c r="V54" s="3"/>
      <c r="W54" s="3"/>
      <c r="X54" s="3"/>
    </row>
    <row r="55" spans="1:24" s="50" customFormat="1" ht="30" customHeight="1" thickBot="1" x14ac:dyDescent="0.35">
      <c r="A55" s="135" t="s">
        <v>10</v>
      </c>
      <c r="B55" s="136"/>
      <c r="C55" s="44"/>
      <c r="D55" s="113">
        <f>SUM(D52+D54)</f>
        <v>1.7000000000000002</v>
      </c>
      <c r="E55" s="114"/>
      <c r="F55" s="115">
        <f>SUM(F52+F54)</f>
        <v>0</v>
      </c>
      <c r="G55" s="114"/>
      <c r="H55" s="115">
        <f>SUM(H52+H54)</f>
        <v>0</v>
      </c>
      <c r="I55" s="114"/>
      <c r="J55" s="113">
        <f>SUM(J52+J54)</f>
        <v>7.2333333333333325</v>
      </c>
      <c r="K55" s="114"/>
      <c r="L55" s="115">
        <f>SUM(L52+L54)</f>
        <v>0</v>
      </c>
      <c r="M55" s="114"/>
      <c r="N55" s="115">
        <f>SUM(N52+N54)</f>
        <v>8.5916666666666668</v>
      </c>
      <c r="O55" s="114"/>
      <c r="P55" s="115">
        <f>SUM(P52+P54)</f>
        <v>0</v>
      </c>
      <c r="Q55" s="114"/>
      <c r="R55" s="115">
        <f>SUM(R52+R54)</f>
        <v>14.066666666666666</v>
      </c>
      <c r="S55" s="114"/>
      <c r="T55" s="138" t="e">
        <f>SUM(T52+T54)</f>
        <v>#REF!</v>
      </c>
      <c r="U55" s="139"/>
      <c r="V55" s="3"/>
      <c r="W55" s="3"/>
      <c r="X55" s="3"/>
    </row>
    <row r="56" spans="1:24" s="50" customFormat="1" ht="30" customHeight="1" thickBot="1" x14ac:dyDescent="0.35">
      <c r="A56" s="135" t="s">
        <v>11</v>
      </c>
      <c r="B56" s="136"/>
      <c r="C56" s="44"/>
      <c r="D56" s="135">
        <v>24</v>
      </c>
      <c r="E56" s="137"/>
      <c r="F56" s="135"/>
      <c r="G56" s="137"/>
      <c r="H56" s="135">
        <v>25</v>
      </c>
      <c r="I56" s="137"/>
      <c r="J56" s="135">
        <v>24</v>
      </c>
      <c r="K56" s="137"/>
      <c r="L56" s="135">
        <v>25</v>
      </c>
      <c r="M56" s="137"/>
      <c r="N56" s="135">
        <v>24</v>
      </c>
      <c r="O56" s="137"/>
      <c r="P56" s="135">
        <v>25</v>
      </c>
      <c r="Q56" s="137"/>
      <c r="R56" s="135">
        <v>24</v>
      </c>
      <c r="S56" s="137"/>
      <c r="T56" s="133">
        <v>21</v>
      </c>
      <c r="U56" s="134"/>
      <c r="V56" s="3"/>
      <c r="W56" s="3"/>
      <c r="X56" s="3"/>
    </row>
    <row r="57" spans="1:24" s="50" customFormat="1" ht="30" customHeight="1" thickBot="1" x14ac:dyDescent="0.35">
      <c r="A57" s="135" t="s">
        <v>25</v>
      </c>
      <c r="B57" s="136"/>
      <c r="C57" s="44"/>
      <c r="D57" s="135"/>
      <c r="E57" s="137"/>
      <c r="F57" s="136">
        <v>21</v>
      </c>
      <c r="G57" s="137"/>
      <c r="H57" s="136">
        <v>21</v>
      </c>
      <c r="I57" s="137"/>
      <c r="J57" s="135"/>
      <c r="K57" s="137"/>
      <c r="L57" s="136">
        <v>21</v>
      </c>
      <c r="M57" s="137"/>
      <c r="N57" s="136"/>
      <c r="O57" s="137"/>
      <c r="P57" s="136">
        <v>21</v>
      </c>
      <c r="Q57" s="137"/>
      <c r="R57" s="136"/>
      <c r="S57" s="137"/>
      <c r="T57" s="133">
        <v>21</v>
      </c>
      <c r="U57" s="134"/>
      <c r="V57" s="3"/>
      <c r="W57" s="3"/>
      <c r="X57" s="3"/>
    </row>
    <row r="58" spans="1:24" s="50" customFormat="1" ht="30" customHeight="1" thickBot="1" x14ac:dyDescent="0.35">
      <c r="A58" s="135" t="s">
        <v>12</v>
      </c>
      <c r="B58" s="136"/>
      <c r="C58" s="44"/>
      <c r="D58" s="113">
        <f>D56-D55-D57</f>
        <v>22.3</v>
      </c>
      <c r="E58" s="114"/>
      <c r="F58" s="115">
        <f t="shared" ref="F58" si="75">F56-F55-F57</f>
        <v>-21</v>
      </c>
      <c r="G58" s="114"/>
      <c r="H58" s="115">
        <f t="shared" ref="H58" si="76">H56-H55-H57</f>
        <v>4</v>
      </c>
      <c r="I58" s="114"/>
      <c r="J58" s="113">
        <f t="shared" ref="J58" si="77">J56-J55-J57</f>
        <v>16.766666666666666</v>
      </c>
      <c r="K58" s="114"/>
      <c r="L58" s="115">
        <f t="shared" ref="L58" si="78">L56-L55-L57</f>
        <v>4</v>
      </c>
      <c r="M58" s="114"/>
      <c r="N58" s="115">
        <f t="shared" ref="N58" si="79">N56-N55-N57</f>
        <v>15.408333333333333</v>
      </c>
      <c r="O58" s="114"/>
      <c r="P58" s="115">
        <f t="shared" ref="P58" si="80">P56-P55-P57</f>
        <v>4</v>
      </c>
      <c r="Q58" s="114"/>
      <c r="R58" s="115">
        <f t="shared" ref="R58" si="81">R56-R55-R57</f>
        <v>9.9333333333333336</v>
      </c>
      <c r="S58" s="114"/>
      <c r="T58" s="138" t="e">
        <f>T56-T55</f>
        <v>#REF!</v>
      </c>
      <c r="U58" s="139"/>
      <c r="V58" s="3"/>
      <c r="W58" s="3"/>
      <c r="X58" s="3"/>
    </row>
  </sheetData>
  <mergeCells count="114">
    <mergeCell ref="A2:S2"/>
    <mergeCell ref="A3:S3"/>
    <mergeCell ref="D4:G4"/>
    <mergeCell ref="H4:I4"/>
    <mergeCell ref="J4:M4"/>
    <mergeCell ref="N4:Q4"/>
    <mergeCell ref="R4:U4"/>
    <mergeCell ref="V5:X5"/>
    <mergeCell ref="A32:B32"/>
    <mergeCell ref="P5:Q5"/>
    <mergeCell ref="R5:S5"/>
    <mergeCell ref="T5:U5"/>
    <mergeCell ref="A33:B33"/>
    <mergeCell ref="A34:B34"/>
    <mergeCell ref="D34:E34"/>
    <mergeCell ref="F34:G34"/>
    <mergeCell ref="H34:I34"/>
    <mergeCell ref="J34:K34"/>
    <mergeCell ref="L34:M34"/>
    <mergeCell ref="N34:O34"/>
    <mergeCell ref="J5:K5"/>
    <mergeCell ref="L5:M5"/>
    <mergeCell ref="N5:O5"/>
    <mergeCell ref="A5:A6"/>
    <mergeCell ref="B5:B6"/>
    <mergeCell ref="C5:C6"/>
    <mergeCell ref="D5:E5"/>
    <mergeCell ref="F5:G5"/>
    <mergeCell ref="H5:I5"/>
    <mergeCell ref="P34:Q34"/>
    <mergeCell ref="R34:S34"/>
    <mergeCell ref="T34:U34"/>
    <mergeCell ref="A35:B36"/>
    <mergeCell ref="C35:C36"/>
    <mergeCell ref="D35:G35"/>
    <mergeCell ref="H35:I35"/>
    <mergeCell ref="J35:M35"/>
    <mergeCell ref="N35:Q35"/>
    <mergeCell ref="R35:U35"/>
    <mergeCell ref="J49:K49"/>
    <mergeCell ref="L49:M49"/>
    <mergeCell ref="N49:O49"/>
    <mergeCell ref="P49:Q49"/>
    <mergeCell ref="R49:S49"/>
    <mergeCell ref="T49:U49"/>
    <mergeCell ref="A47:B47"/>
    <mergeCell ref="A48:B48"/>
    <mergeCell ref="A49:B49"/>
    <mergeCell ref="D49:E49"/>
    <mergeCell ref="F49:G49"/>
    <mergeCell ref="H49:I49"/>
    <mergeCell ref="P52:Q52"/>
    <mergeCell ref="R52:S52"/>
    <mergeCell ref="T52:U52"/>
    <mergeCell ref="A50:B50"/>
    <mergeCell ref="A51:B51"/>
    <mergeCell ref="A52:B52"/>
    <mergeCell ref="D52:E52"/>
    <mergeCell ref="F52:G52"/>
    <mergeCell ref="H52:I52"/>
    <mergeCell ref="A53:B53"/>
    <mergeCell ref="A54:B54"/>
    <mergeCell ref="D54:E54"/>
    <mergeCell ref="F54:G54"/>
    <mergeCell ref="H54:I54"/>
    <mergeCell ref="J54:K54"/>
    <mergeCell ref="J52:K52"/>
    <mergeCell ref="L52:M52"/>
    <mergeCell ref="N52:O52"/>
    <mergeCell ref="L54:M54"/>
    <mergeCell ref="N54:O54"/>
    <mergeCell ref="P54:Q54"/>
    <mergeCell ref="R54:S54"/>
    <mergeCell ref="T54:U54"/>
    <mergeCell ref="A55:B55"/>
    <mergeCell ref="D55:E55"/>
    <mergeCell ref="F55:G55"/>
    <mergeCell ref="H55:I55"/>
    <mergeCell ref="J55:K55"/>
    <mergeCell ref="T56:U56"/>
    <mergeCell ref="T55:U55"/>
    <mergeCell ref="L55:M55"/>
    <mergeCell ref="N55:O55"/>
    <mergeCell ref="P55:Q55"/>
    <mergeCell ref="R55:S55"/>
    <mergeCell ref="A56:B56"/>
    <mergeCell ref="D56:E56"/>
    <mergeCell ref="F56:G56"/>
    <mergeCell ref="H56:I56"/>
    <mergeCell ref="J56:K56"/>
    <mergeCell ref="L56:M56"/>
    <mergeCell ref="N56:O56"/>
    <mergeCell ref="P56:Q56"/>
    <mergeCell ref="R56:S56"/>
    <mergeCell ref="T58:U58"/>
    <mergeCell ref="L57:M57"/>
    <mergeCell ref="N57:O57"/>
    <mergeCell ref="P57:Q57"/>
    <mergeCell ref="R57:S57"/>
    <mergeCell ref="T57:U57"/>
    <mergeCell ref="A58:B58"/>
    <mergeCell ref="D58:E58"/>
    <mergeCell ref="F58:G58"/>
    <mergeCell ref="H58:I58"/>
    <mergeCell ref="J58:K58"/>
    <mergeCell ref="L58:M58"/>
    <mergeCell ref="N58:O58"/>
    <mergeCell ref="P58:Q58"/>
    <mergeCell ref="R58:S58"/>
    <mergeCell ref="A57:B57"/>
    <mergeCell ref="D57:E57"/>
    <mergeCell ref="F57:G57"/>
    <mergeCell ref="H57:I57"/>
    <mergeCell ref="J57:K57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3B93F-3005-4620-A04B-CF430C50884F}">
  <dimension ref="A1:X58"/>
  <sheetViews>
    <sheetView topLeftCell="A3" workbookViewId="0">
      <selection activeCell="B8" sqref="B8"/>
    </sheetView>
  </sheetViews>
  <sheetFormatPr defaultRowHeight="14.4" x14ac:dyDescent="0.3"/>
  <cols>
    <col min="1" max="1" width="13.21875" customWidth="1"/>
    <col min="2" max="2" width="68.21875" customWidth="1"/>
    <col min="3" max="3" width="16.21875" customWidth="1"/>
    <col min="4" max="5" width="10.77734375" customWidth="1"/>
    <col min="6" max="7" width="10.77734375" hidden="1" customWidth="1"/>
    <col min="8" max="9" width="9.21875" hidden="1" customWidth="1"/>
    <col min="12" max="13" width="9.21875" hidden="1" customWidth="1"/>
    <col min="16" max="17" width="9.21875" hidden="1" customWidth="1"/>
    <col min="20" max="20" width="9.21875" hidden="1" customWidth="1"/>
    <col min="21" max="21" width="2.21875" hidden="1" customWidth="1"/>
    <col min="22" max="24" width="21.44140625" style="1" customWidth="1"/>
  </cols>
  <sheetData>
    <row r="1" spans="1:24" ht="15" thickBot="1" x14ac:dyDescent="0.35"/>
    <row r="2" spans="1:24" s="2" customFormat="1" ht="37.200000000000003" thickBot="1" x14ac:dyDescent="0.35">
      <c r="A2" s="151" t="s">
        <v>63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53"/>
      <c r="T2" s="67"/>
      <c r="U2" s="67"/>
      <c r="V2" s="3"/>
      <c r="W2" s="3"/>
      <c r="X2" s="3"/>
    </row>
    <row r="3" spans="1:24" s="2" customFormat="1" ht="24" thickBot="1" x14ac:dyDescent="0.5">
      <c r="A3" s="154" t="s">
        <v>14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6"/>
      <c r="T3" s="68"/>
      <c r="U3" s="68"/>
      <c r="V3" s="3"/>
      <c r="W3" s="3"/>
      <c r="X3" s="3"/>
    </row>
    <row r="4" spans="1:24" s="71" customFormat="1" ht="21" customHeight="1" thickBot="1" x14ac:dyDescent="0.6">
      <c r="A4" s="69"/>
      <c r="B4" s="70"/>
      <c r="C4" s="70"/>
      <c r="D4" s="140" t="s">
        <v>1</v>
      </c>
      <c r="E4" s="125"/>
      <c r="F4" s="125"/>
      <c r="G4" s="126"/>
      <c r="H4" s="125"/>
      <c r="I4" s="126"/>
      <c r="J4" s="140" t="s">
        <v>33</v>
      </c>
      <c r="K4" s="125"/>
      <c r="L4" s="125"/>
      <c r="M4" s="126"/>
      <c r="N4" s="140" t="s">
        <v>27</v>
      </c>
      <c r="O4" s="125"/>
      <c r="P4" s="125"/>
      <c r="Q4" s="126"/>
      <c r="R4" s="140" t="s">
        <v>44</v>
      </c>
      <c r="S4" s="125"/>
      <c r="T4" s="125"/>
      <c r="U4" s="126"/>
      <c r="V4" s="3"/>
      <c r="W4" s="3"/>
      <c r="X4" s="3"/>
    </row>
    <row r="5" spans="1:24" s="71" customFormat="1" ht="29.55" customHeight="1" thickBot="1" x14ac:dyDescent="0.4">
      <c r="A5" s="145" t="s">
        <v>18</v>
      </c>
      <c r="B5" s="147" t="s">
        <v>0</v>
      </c>
      <c r="C5" s="149" t="s">
        <v>21</v>
      </c>
      <c r="D5" s="141" t="s">
        <v>19</v>
      </c>
      <c r="E5" s="142"/>
      <c r="F5" s="143" t="s">
        <v>20</v>
      </c>
      <c r="G5" s="144"/>
      <c r="H5" s="143" t="s">
        <v>20</v>
      </c>
      <c r="I5" s="144"/>
      <c r="J5" s="141" t="s">
        <v>19</v>
      </c>
      <c r="K5" s="142"/>
      <c r="L5" s="143" t="s">
        <v>20</v>
      </c>
      <c r="M5" s="144"/>
      <c r="N5" s="141" t="s">
        <v>19</v>
      </c>
      <c r="O5" s="142"/>
      <c r="P5" s="143" t="s">
        <v>20</v>
      </c>
      <c r="Q5" s="144"/>
      <c r="R5" s="141" t="s">
        <v>19</v>
      </c>
      <c r="S5" s="142"/>
      <c r="T5" s="158" t="s">
        <v>20</v>
      </c>
      <c r="U5" s="159"/>
      <c r="V5" s="157"/>
      <c r="W5" s="157"/>
      <c r="X5" s="157"/>
    </row>
    <row r="6" spans="1:24" s="2" customFormat="1" ht="26.55" customHeight="1" thickBot="1" x14ac:dyDescent="0.35">
      <c r="A6" s="146"/>
      <c r="B6" s="148"/>
      <c r="C6" s="150"/>
      <c r="D6" s="4" t="s">
        <v>2</v>
      </c>
      <c r="E6" s="73" t="s">
        <v>3</v>
      </c>
      <c r="F6" s="4" t="s">
        <v>2</v>
      </c>
      <c r="G6" s="73" t="s">
        <v>3</v>
      </c>
      <c r="H6" s="4" t="s">
        <v>2</v>
      </c>
      <c r="I6" s="73" t="s">
        <v>3</v>
      </c>
      <c r="J6" s="4" t="s">
        <v>2</v>
      </c>
      <c r="K6" s="73" t="s">
        <v>3</v>
      </c>
      <c r="L6" s="4" t="s">
        <v>2</v>
      </c>
      <c r="M6" s="73" t="s">
        <v>3</v>
      </c>
      <c r="N6" s="4" t="s">
        <v>2</v>
      </c>
      <c r="O6" s="73" t="s">
        <v>3</v>
      </c>
      <c r="P6" s="4" t="s">
        <v>2</v>
      </c>
      <c r="Q6" s="73" t="s">
        <v>3</v>
      </c>
      <c r="R6" s="4" t="s">
        <v>2</v>
      </c>
      <c r="S6" s="73" t="s">
        <v>3</v>
      </c>
      <c r="T6" s="4" t="s">
        <v>2</v>
      </c>
      <c r="U6" s="73" t="s">
        <v>3</v>
      </c>
      <c r="V6" s="72"/>
      <c r="W6" s="72"/>
      <c r="X6" s="72"/>
    </row>
    <row r="7" spans="1:24" s="2" customFormat="1" ht="44.25" customHeight="1" thickBot="1" x14ac:dyDescent="0.35">
      <c r="A7" s="24">
        <v>1</v>
      </c>
      <c r="B7" s="55" t="s">
        <v>37</v>
      </c>
      <c r="C7" s="74"/>
      <c r="D7" s="75"/>
      <c r="E7" s="76"/>
      <c r="F7" s="75"/>
      <c r="G7" s="76"/>
      <c r="H7" s="75"/>
      <c r="I7" s="77"/>
      <c r="J7" s="75">
        <v>2</v>
      </c>
      <c r="K7" s="77">
        <v>0.5</v>
      </c>
      <c r="L7" s="75"/>
      <c r="M7" s="77"/>
      <c r="N7" s="75">
        <v>2</v>
      </c>
      <c r="O7" s="77">
        <v>1</v>
      </c>
      <c r="P7" s="75"/>
      <c r="Q7" s="77"/>
      <c r="R7" s="75">
        <v>2</v>
      </c>
      <c r="S7" s="77">
        <v>3</v>
      </c>
      <c r="T7" s="5"/>
      <c r="U7" s="6"/>
      <c r="V7" s="3"/>
      <c r="W7" s="7"/>
      <c r="X7" s="7"/>
    </row>
    <row r="8" spans="1:24" s="2" customFormat="1" ht="44.25" customHeight="1" thickBot="1" x14ac:dyDescent="0.35">
      <c r="A8" s="24">
        <v>2</v>
      </c>
      <c r="B8" s="55" t="s">
        <v>38</v>
      </c>
      <c r="C8" s="74"/>
      <c r="D8" s="75"/>
      <c r="E8" s="76"/>
      <c r="F8" s="75"/>
      <c r="G8" s="76"/>
      <c r="H8" s="75"/>
      <c r="I8" s="77"/>
      <c r="J8" s="75">
        <v>2</v>
      </c>
      <c r="K8" s="77">
        <v>0.5</v>
      </c>
      <c r="L8" s="75"/>
      <c r="M8" s="77"/>
      <c r="N8" s="75">
        <v>4</v>
      </c>
      <c r="O8" s="77">
        <v>4</v>
      </c>
      <c r="P8" s="75"/>
      <c r="Q8" s="77"/>
      <c r="R8" s="75">
        <v>4</v>
      </c>
      <c r="S8" s="77">
        <v>4</v>
      </c>
      <c r="T8" s="5"/>
      <c r="U8" s="6"/>
      <c r="V8" s="3"/>
      <c r="W8" s="7"/>
      <c r="X8" s="7"/>
    </row>
    <row r="9" spans="1:24" s="2" customFormat="1" ht="44.25" customHeight="1" thickBot="1" x14ac:dyDescent="0.35">
      <c r="A9" s="24">
        <v>3</v>
      </c>
      <c r="B9" s="55" t="s">
        <v>42</v>
      </c>
      <c r="C9" s="74"/>
      <c r="D9" s="75"/>
      <c r="E9" s="76"/>
      <c r="F9" s="75"/>
      <c r="G9" s="76"/>
      <c r="H9" s="75"/>
      <c r="I9" s="77"/>
      <c r="J9" s="75"/>
      <c r="K9" s="77"/>
      <c r="L9" s="75"/>
      <c r="M9" s="77"/>
      <c r="N9" s="75">
        <v>4</v>
      </c>
      <c r="O9" s="77"/>
      <c r="P9" s="75"/>
      <c r="Q9" s="77"/>
      <c r="R9" s="75">
        <v>4</v>
      </c>
      <c r="S9" s="77"/>
      <c r="T9" s="5"/>
      <c r="U9" s="6"/>
      <c r="V9" s="3"/>
      <c r="W9" s="7"/>
      <c r="X9" s="7"/>
    </row>
    <row r="10" spans="1:24" s="2" customFormat="1" ht="43.5" customHeight="1" thickBot="1" x14ac:dyDescent="0.35">
      <c r="A10" s="24">
        <v>4</v>
      </c>
      <c r="B10" s="55" t="s">
        <v>39</v>
      </c>
      <c r="C10" s="74"/>
      <c r="D10" s="75"/>
      <c r="E10" s="76"/>
      <c r="F10" s="75"/>
      <c r="G10" s="76"/>
      <c r="H10" s="75"/>
      <c r="I10" s="77"/>
      <c r="J10" s="75">
        <v>4</v>
      </c>
      <c r="K10" s="77"/>
      <c r="L10" s="75"/>
      <c r="M10" s="77"/>
      <c r="N10" s="75">
        <v>4</v>
      </c>
      <c r="O10" s="77"/>
      <c r="P10" s="75"/>
      <c r="Q10" s="77"/>
      <c r="R10" s="75">
        <v>4</v>
      </c>
      <c r="S10" s="77"/>
      <c r="T10" s="5"/>
      <c r="U10" s="6"/>
      <c r="V10" s="51"/>
      <c r="W10" s="7"/>
      <c r="X10" s="7"/>
    </row>
    <row r="11" spans="1:24" s="2" customFormat="1" ht="42" customHeight="1" thickBot="1" x14ac:dyDescent="0.35">
      <c r="A11" s="24">
        <v>5</v>
      </c>
      <c r="B11" s="55" t="s">
        <v>40</v>
      </c>
      <c r="C11" s="74"/>
      <c r="D11" s="75"/>
      <c r="E11" s="76"/>
      <c r="F11" s="75"/>
      <c r="G11" s="76"/>
      <c r="H11" s="75"/>
      <c r="I11" s="77"/>
      <c r="J11" s="75"/>
      <c r="K11" s="77"/>
      <c r="L11" s="75"/>
      <c r="M11" s="77"/>
      <c r="N11" s="75"/>
      <c r="O11" s="77"/>
      <c r="P11" s="75"/>
      <c r="Q11" s="77"/>
      <c r="R11" s="75"/>
      <c r="S11" s="77">
        <v>1</v>
      </c>
      <c r="T11" s="5"/>
      <c r="U11" s="6"/>
      <c r="V11" s="51"/>
      <c r="W11" s="7"/>
      <c r="X11" s="7"/>
    </row>
    <row r="12" spans="1:24" s="2" customFormat="1" ht="42" customHeight="1" thickBot="1" x14ac:dyDescent="0.35">
      <c r="A12" s="24">
        <v>6</v>
      </c>
      <c r="B12" s="55" t="s">
        <v>62</v>
      </c>
      <c r="C12" s="74"/>
      <c r="D12" s="75"/>
      <c r="E12" s="76">
        <v>2</v>
      </c>
      <c r="F12" s="75"/>
      <c r="G12" s="76"/>
      <c r="H12" s="75"/>
      <c r="I12" s="77"/>
      <c r="J12" s="75"/>
      <c r="K12" s="77">
        <v>3</v>
      </c>
      <c r="L12" s="75"/>
      <c r="M12" s="77"/>
      <c r="N12" s="75"/>
      <c r="O12" s="77">
        <v>3</v>
      </c>
      <c r="P12" s="75"/>
      <c r="Q12" s="77"/>
      <c r="R12" s="75"/>
      <c r="S12" s="77">
        <v>8</v>
      </c>
      <c r="T12" s="5"/>
      <c r="U12" s="6"/>
      <c r="V12" s="51"/>
      <c r="W12" s="7"/>
      <c r="X12" s="7"/>
    </row>
    <row r="13" spans="1:24" s="2" customFormat="1" ht="42" customHeight="1" thickBot="1" x14ac:dyDescent="0.35">
      <c r="A13" s="24">
        <v>7</v>
      </c>
      <c r="B13" s="55" t="s">
        <v>43</v>
      </c>
      <c r="C13" s="74"/>
      <c r="D13" s="75"/>
      <c r="E13" s="76"/>
      <c r="F13" s="75"/>
      <c r="G13" s="76"/>
      <c r="H13" s="75"/>
      <c r="I13" s="77"/>
      <c r="J13" s="75"/>
      <c r="K13" s="77">
        <v>0.25</v>
      </c>
      <c r="L13" s="75"/>
      <c r="M13" s="77"/>
      <c r="N13" s="75"/>
      <c r="O13" s="77">
        <v>1</v>
      </c>
      <c r="P13" s="75"/>
      <c r="Q13" s="77"/>
      <c r="R13" s="75">
        <v>1</v>
      </c>
      <c r="S13" s="77"/>
      <c r="T13" s="5"/>
      <c r="U13" s="6"/>
      <c r="V13" s="51"/>
      <c r="W13" s="7"/>
      <c r="X13" s="7"/>
    </row>
    <row r="14" spans="1:24" s="2" customFormat="1" ht="39.75" customHeight="1" thickBot="1" x14ac:dyDescent="0.35">
      <c r="A14" s="24">
        <v>8</v>
      </c>
      <c r="B14" s="55" t="s">
        <v>45</v>
      </c>
      <c r="C14" s="74"/>
      <c r="D14" s="75"/>
      <c r="E14" s="76">
        <v>0.5</v>
      </c>
      <c r="F14" s="75"/>
      <c r="G14" s="76"/>
      <c r="H14" s="75"/>
      <c r="I14" s="77"/>
      <c r="J14" s="75">
        <v>1.5</v>
      </c>
      <c r="K14" s="77">
        <v>0.5</v>
      </c>
      <c r="L14" s="75"/>
      <c r="M14" s="77"/>
      <c r="N14" s="75"/>
      <c r="O14" s="77">
        <v>0.5</v>
      </c>
      <c r="P14" s="75"/>
      <c r="Q14" s="77"/>
      <c r="R14" s="75">
        <v>1.5</v>
      </c>
      <c r="S14" s="77">
        <v>1.5</v>
      </c>
      <c r="T14" s="5"/>
      <c r="U14" s="6"/>
      <c r="V14" s="51"/>
      <c r="W14" s="7"/>
      <c r="X14" s="7"/>
    </row>
    <row r="15" spans="1:24" s="2" customFormat="1" ht="39.75" customHeight="1" thickBot="1" x14ac:dyDescent="0.35">
      <c r="A15" s="24">
        <v>9</v>
      </c>
      <c r="B15" s="55" t="s">
        <v>41</v>
      </c>
      <c r="C15" s="74"/>
      <c r="D15" s="75">
        <v>3</v>
      </c>
      <c r="E15" s="76"/>
      <c r="F15" s="75"/>
      <c r="G15" s="76"/>
      <c r="H15" s="75"/>
      <c r="I15" s="77"/>
      <c r="J15" s="75">
        <v>12</v>
      </c>
      <c r="K15" s="77">
        <v>1</v>
      </c>
      <c r="L15" s="75"/>
      <c r="M15" s="77"/>
      <c r="N15" s="75">
        <v>3</v>
      </c>
      <c r="O15" s="77">
        <v>2</v>
      </c>
      <c r="P15" s="75"/>
      <c r="Q15" s="77"/>
      <c r="R15" s="75">
        <v>8</v>
      </c>
      <c r="S15" s="77"/>
      <c r="T15" s="5"/>
      <c r="U15" s="6"/>
      <c r="V15" s="51"/>
      <c r="W15" s="7"/>
      <c r="X15" s="7"/>
    </row>
    <row r="16" spans="1:24" s="2" customFormat="1" ht="39.75" customHeight="1" thickBot="1" x14ac:dyDescent="0.35">
      <c r="A16" s="24">
        <v>10</v>
      </c>
      <c r="B16" s="55" t="s">
        <v>46</v>
      </c>
      <c r="C16" s="74"/>
      <c r="D16" s="75"/>
      <c r="E16" s="76"/>
      <c r="F16" s="75"/>
      <c r="G16" s="76"/>
      <c r="H16" s="75"/>
      <c r="I16" s="77"/>
      <c r="J16" s="75">
        <v>1</v>
      </c>
      <c r="K16" s="77">
        <v>0.5</v>
      </c>
      <c r="L16" s="75"/>
      <c r="M16" s="77"/>
      <c r="N16" s="75">
        <v>3</v>
      </c>
      <c r="O16" s="77">
        <v>0.5</v>
      </c>
      <c r="P16" s="75"/>
      <c r="Q16" s="77"/>
      <c r="R16" s="75">
        <v>1</v>
      </c>
      <c r="S16" s="77">
        <v>0.5</v>
      </c>
      <c r="T16" s="5"/>
      <c r="U16" s="6"/>
      <c r="V16" s="51"/>
      <c r="W16" s="7"/>
      <c r="X16" s="7"/>
    </row>
    <row r="17" spans="1:24" s="2" customFormat="1" ht="39.75" customHeight="1" thickBot="1" x14ac:dyDescent="0.35">
      <c r="A17" s="24">
        <v>11</v>
      </c>
      <c r="B17" s="55" t="s">
        <v>47</v>
      </c>
      <c r="C17" s="74"/>
      <c r="D17" s="75"/>
      <c r="E17" s="76"/>
      <c r="F17" s="75"/>
      <c r="G17" s="76"/>
      <c r="H17" s="75"/>
      <c r="I17" s="77"/>
      <c r="J17" s="75">
        <v>0.5</v>
      </c>
      <c r="K17" s="77">
        <v>0.5</v>
      </c>
      <c r="L17" s="75"/>
      <c r="M17" s="77"/>
      <c r="N17" s="75">
        <v>0.5</v>
      </c>
      <c r="O17" s="77">
        <v>1.5</v>
      </c>
      <c r="P17" s="75"/>
      <c r="Q17" s="77"/>
      <c r="R17" s="75">
        <v>0.5</v>
      </c>
      <c r="S17" s="77">
        <v>3</v>
      </c>
      <c r="T17" s="5"/>
      <c r="U17" s="6"/>
      <c r="V17" s="51"/>
      <c r="W17" s="7"/>
      <c r="X17" s="7"/>
    </row>
    <row r="18" spans="1:24" s="2" customFormat="1" ht="39.75" customHeight="1" thickBot="1" x14ac:dyDescent="0.35">
      <c r="A18" s="24">
        <v>12</v>
      </c>
      <c r="B18" s="55" t="s">
        <v>48</v>
      </c>
      <c r="C18" s="74"/>
      <c r="D18" s="75"/>
      <c r="E18" s="76"/>
      <c r="F18" s="75"/>
      <c r="G18" s="76"/>
      <c r="H18" s="75"/>
      <c r="I18" s="77"/>
      <c r="J18" s="75"/>
      <c r="K18" s="77"/>
      <c r="L18" s="75"/>
      <c r="M18" s="77"/>
      <c r="N18" s="75">
        <v>1</v>
      </c>
      <c r="O18" s="77"/>
      <c r="P18" s="75"/>
      <c r="Q18" s="77"/>
      <c r="R18" s="75"/>
      <c r="S18" s="77"/>
      <c r="T18" s="5"/>
      <c r="U18" s="6"/>
      <c r="V18" s="51"/>
      <c r="W18" s="7"/>
      <c r="X18" s="7"/>
    </row>
    <row r="19" spans="1:24" s="2" customFormat="1" ht="39.75" customHeight="1" thickBot="1" x14ac:dyDescent="0.35">
      <c r="A19" s="24">
        <v>13</v>
      </c>
      <c r="B19" s="55" t="s">
        <v>49</v>
      </c>
      <c r="C19" s="74"/>
      <c r="D19" s="75"/>
      <c r="E19" s="76"/>
      <c r="F19" s="75"/>
      <c r="G19" s="76"/>
      <c r="H19" s="75"/>
      <c r="I19" s="77"/>
      <c r="J19" s="75"/>
      <c r="K19" s="77">
        <v>0.5</v>
      </c>
      <c r="L19" s="75"/>
      <c r="M19" s="77"/>
      <c r="N19" s="75"/>
      <c r="O19" s="77">
        <v>0.5</v>
      </c>
      <c r="P19" s="75"/>
      <c r="Q19" s="77"/>
      <c r="R19" s="75"/>
      <c r="S19" s="77">
        <v>3.5</v>
      </c>
      <c r="T19" s="5"/>
      <c r="U19" s="6"/>
      <c r="V19" s="51"/>
      <c r="W19" s="7"/>
      <c r="X19" s="7"/>
    </row>
    <row r="20" spans="1:24" s="2" customFormat="1" ht="39.75" customHeight="1" thickBot="1" x14ac:dyDescent="0.35">
      <c r="A20" s="24">
        <v>14</v>
      </c>
      <c r="B20" s="55" t="s">
        <v>50</v>
      </c>
      <c r="C20" s="74"/>
      <c r="D20" s="75"/>
      <c r="E20" s="76"/>
      <c r="F20" s="75"/>
      <c r="G20" s="76"/>
      <c r="H20" s="75"/>
      <c r="I20" s="77"/>
      <c r="J20" s="75"/>
      <c r="K20" s="77"/>
      <c r="L20" s="75"/>
      <c r="M20" s="77"/>
      <c r="N20" s="75">
        <v>0.5</v>
      </c>
      <c r="O20" s="77"/>
      <c r="P20" s="75"/>
      <c r="Q20" s="77"/>
      <c r="R20" s="75"/>
      <c r="S20" s="77"/>
      <c r="T20" s="5"/>
      <c r="U20" s="6"/>
      <c r="V20" s="51"/>
      <c r="W20" s="7"/>
      <c r="X20" s="7"/>
    </row>
    <row r="21" spans="1:24" s="2" customFormat="1" ht="39.75" customHeight="1" thickBot="1" x14ac:dyDescent="0.35">
      <c r="A21" s="24">
        <v>15</v>
      </c>
      <c r="B21" s="55" t="s">
        <v>51</v>
      </c>
      <c r="C21" s="74"/>
      <c r="D21" s="75"/>
      <c r="E21" s="76"/>
      <c r="F21" s="75"/>
      <c r="G21" s="76"/>
      <c r="H21" s="75"/>
      <c r="I21" s="77"/>
      <c r="J21" s="75">
        <v>2</v>
      </c>
      <c r="K21" s="77">
        <v>0.25</v>
      </c>
      <c r="L21" s="75"/>
      <c r="M21" s="77"/>
      <c r="N21" s="75">
        <v>2</v>
      </c>
      <c r="O21" s="77">
        <v>0.5</v>
      </c>
      <c r="P21" s="75"/>
      <c r="Q21" s="77"/>
      <c r="R21" s="75">
        <v>4</v>
      </c>
      <c r="S21" s="77">
        <v>1.5</v>
      </c>
      <c r="T21" s="5"/>
      <c r="U21" s="6"/>
      <c r="V21" s="51"/>
      <c r="W21" s="7"/>
      <c r="X21" s="7"/>
    </row>
    <row r="22" spans="1:24" s="2" customFormat="1" ht="39.75" customHeight="1" thickBot="1" x14ac:dyDescent="0.35">
      <c r="A22" s="24">
        <v>16</v>
      </c>
      <c r="B22" s="55" t="s">
        <v>52</v>
      </c>
      <c r="C22" s="74"/>
      <c r="D22" s="75"/>
      <c r="E22" s="76"/>
      <c r="F22" s="75"/>
      <c r="G22" s="76"/>
      <c r="H22" s="75"/>
      <c r="I22" s="77"/>
      <c r="J22" s="75"/>
      <c r="K22" s="77">
        <v>0.5</v>
      </c>
      <c r="L22" s="75"/>
      <c r="M22" s="77"/>
      <c r="N22" s="75"/>
      <c r="O22" s="77">
        <v>0.5</v>
      </c>
      <c r="P22" s="75"/>
      <c r="Q22" s="77"/>
      <c r="R22" s="75">
        <v>2</v>
      </c>
      <c r="S22" s="77">
        <v>1</v>
      </c>
      <c r="T22" s="5"/>
      <c r="U22" s="6"/>
      <c r="V22" s="51"/>
      <c r="W22" s="7"/>
      <c r="X22" s="7"/>
    </row>
    <row r="23" spans="1:24" s="2" customFormat="1" ht="39.75" customHeight="1" thickBot="1" x14ac:dyDescent="0.35">
      <c r="A23" s="24">
        <v>17</v>
      </c>
      <c r="B23" s="55" t="s">
        <v>53</v>
      </c>
      <c r="C23" s="74"/>
      <c r="D23" s="75"/>
      <c r="E23" s="76">
        <v>1</v>
      </c>
      <c r="F23" s="75"/>
      <c r="G23" s="76"/>
      <c r="H23" s="75"/>
      <c r="I23" s="77"/>
      <c r="J23" s="75"/>
      <c r="K23" s="77">
        <v>1</v>
      </c>
      <c r="L23" s="75"/>
      <c r="M23" s="77"/>
      <c r="N23" s="75"/>
      <c r="O23" s="77">
        <v>1</v>
      </c>
      <c r="P23" s="75"/>
      <c r="Q23" s="77"/>
      <c r="R23" s="75"/>
      <c r="S23" s="77">
        <v>3</v>
      </c>
      <c r="T23" s="5"/>
      <c r="U23" s="6"/>
      <c r="V23" s="51"/>
      <c r="W23" s="7"/>
      <c r="X23" s="7"/>
    </row>
    <row r="24" spans="1:24" s="2" customFormat="1" ht="39.75" customHeight="1" thickBot="1" x14ac:dyDescent="0.35">
      <c r="A24" s="24">
        <v>18</v>
      </c>
      <c r="B24" s="55" t="s">
        <v>54</v>
      </c>
      <c r="C24" s="74"/>
      <c r="D24" s="75"/>
      <c r="E24" s="76"/>
      <c r="F24" s="75"/>
      <c r="G24" s="76"/>
      <c r="H24" s="75"/>
      <c r="I24" s="77"/>
      <c r="J24" s="75"/>
      <c r="K24" s="77"/>
      <c r="L24" s="75"/>
      <c r="M24" s="77"/>
      <c r="N24" s="75">
        <v>0.5</v>
      </c>
      <c r="O24" s="77"/>
      <c r="P24" s="75"/>
      <c r="Q24" s="77"/>
      <c r="R24" s="75">
        <v>0.5</v>
      </c>
      <c r="S24" s="77"/>
      <c r="T24" s="5"/>
      <c r="U24" s="6"/>
      <c r="V24" s="51"/>
      <c r="W24" s="7"/>
      <c r="X24" s="7"/>
    </row>
    <row r="25" spans="1:24" s="2" customFormat="1" ht="39.75" customHeight="1" thickBot="1" x14ac:dyDescent="0.35">
      <c r="A25" s="24">
        <v>19</v>
      </c>
      <c r="B25" s="55" t="s">
        <v>55</v>
      </c>
      <c r="C25" s="74"/>
      <c r="D25" s="75"/>
      <c r="E25" s="76"/>
      <c r="F25" s="75"/>
      <c r="G25" s="76"/>
      <c r="H25" s="75"/>
      <c r="I25" s="77"/>
      <c r="J25" s="75"/>
      <c r="K25" s="77"/>
      <c r="L25" s="75"/>
      <c r="M25" s="77"/>
      <c r="N25" s="75">
        <v>0.25</v>
      </c>
      <c r="O25" s="77"/>
      <c r="P25" s="75"/>
      <c r="Q25" s="77"/>
      <c r="R25" s="75"/>
      <c r="S25" s="77"/>
      <c r="T25" s="5"/>
      <c r="U25" s="6"/>
      <c r="V25" s="51"/>
      <c r="W25" s="7"/>
      <c r="X25" s="7"/>
    </row>
    <row r="26" spans="1:24" s="2" customFormat="1" ht="39.75" customHeight="1" thickBot="1" x14ac:dyDescent="0.35">
      <c r="A26" s="24">
        <v>20</v>
      </c>
      <c r="B26" s="55" t="s">
        <v>56</v>
      </c>
      <c r="C26" s="74"/>
      <c r="D26" s="75"/>
      <c r="E26" s="76"/>
      <c r="F26" s="75"/>
      <c r="G26" s="76"/>
      <c r="H26" s="75"/>
      <c r="I26" s="77"/>
      <c r="J26" s="75"/>
      <c r="K26" s="77"/>
      <c r="L26" s="75"/>
      <c r="M26" s="77"/>
      <c r="N26" s="75"/>
      <c r="O26" s="77"/>
      <c r="P26" s="75"/>
      <c r="Q26" s="77"/>
      <c r="R26" s="75">
        <v>0.5</v>
      </c>
      <c r="S26" s="77"/>
      <c r="T26" s="5"/>
      <c r="U26" s="6"/>
      <c r="V26" s="51"/>
      <c r="W26" s="7"/>
      <c r="X26" s="7"/>
    </row>
    <row r="27" spans="1:24" s="2" customFormat="1" ht="39.75" customHeight="1" thickBot="1" x14ac:dyDescent="0.35">
      <c r="A27" s="24">
        <v>21</v>
      </c>
      <c r="B27" s="55" t="s">
        <v>58</v>
      </c>
      <c r="C27" s="74"/>
      <c r="D27" s="75"/>
      <c r="E27" s="76"/>
      <c r="F27" s="75"/>
      <c r="G27" s="76"/>
      <c r="H27" s="75"/>
      <c r="I27" s="77"/>
      <c r="J27" s="75"/>
      <c r="K27" s="77"/>
      <c r="L27" s="75"/>
      <c r="M27" s="77"/>
      <c r="N27" s="75"/>
      <c r="O27" s="77"/>
      <c r="P27" s="75"/>
      <c r="Q27" s="77"/>
      <c r="R27" s="75">
        <v>1</v>
      </c>
      <c r="S27" s="77">
        <v>0.5</v>
      </c>
      <c r="T27" s="5"/>
      <c r="U27" s="6"/>
      <c r="V27" s="51"/>
      <c r="W27" s="7"/>
      <c r="X27" s="7"/>
    </row>
    <row r="28" spans="1:24" s="2" customFormat="1" ht="39.75" customHeight="1" thickBot="1" x14ac:dyDescent="0.35">
      <c r="A28" s="24">
        <v>22</v>
      </c>
      <c r="B28" s="55" t="s">
        <v>59</v>
      </c>
      <c r="C28" s="74"/>
      <c r="D28" s="75"/>
      <c r="E28" s="76"/>
      <c r="F28" s="75"/>
      <c r="G28" s="76"/>
      <c r="H28" s="75"/>
      <c r="I28" s="77"/>
      <c r="J28" s="75">
        <v>3</v>
      </c>
      <c r="K28" s="77"/>
      <c r="L28" s="75"/>
      <c r="M28" s="77"/>
      <c r="N28" s="75"/>
      <c r="O28" s="77"/>
      <c r="P28" s="75"/>
      <c r="Q28" s="77"/>
      <c r="R28" s="75">
        <v>3</v>
      </c>
      <c r="S28" s="77"/>
      <c r="T28" s="5"/>
      <c r="U28" s="6"/>
      <c r="V28" s="51"/>
      <c r="W28" s="7"/>
      <c r="X28" s="7"/>
    </row>
    <row r="29" spans="1:24" s="2" customFormat="1" ht="39.75" customHeight="1" thickBot="1" x14ac:dyDescent="0.35">
      <c r="A29" s="24">
        <v>23</v>
      </c>
      <c r="B29" s="55" t="s">
        <v>60</v>
      </c>
      <c r="C29" s="74"/>
      <c r="D29" s="75"/>
      <c r="E29" s="76"/>
      <c r="F29" s="75"/>
      <c r="G29" s="76"/>
      <c r="H29" s="75"/>
      <c r="I29" s="77"/>
      <c r="J29" s="75"/>
      <c r="K29" s="77">
        <v>0.25</v>
      </c>
      <c r="L29" s="75"/>
      <c r="M29" s="77"/>
      <c r="N29" s="75">
        <v>4</v>
      </c>
      <c r="O29" s="77">
        <v>0.25</v>
      </c>
      <c r="P29" s="75"/>
      <c r="Q29" s="77"/>
      <c r="R29" s="75">
        <v>4</v>
      </c>
      <c r="S29" s="77">
        <v>2</v>
      </c>
      <c r="T29" s="5"/>
      <c r="U29" s="6"/>
      <c r="V29" s="51"/>
      <c r="W29" s="7"/>
      <c r="X29" s="7"/>
    </row>
    <row r="30" spans="1:24" s="2" customFormat="1" ht="39.75" customHeight="1" thickBot="1" x14ac:dyDescent="0.35">
      <c r="A30" s="24">
        <v>24</v>
      </c>
      <c r="B30" s="55" t="s">
        <v>61</v>
      </c>
      <c r="C30" s="74"/>
      <c r="D30" s="75"/>
      <c r="E30" s="76"/>
      <c r="F30" s="75"/>
      <c r="G30" s="76"/>
      <c r="H30" s="75"/>
      <c r="I30" s="77"/>
      <c r="J30" s="75"/>
      <c r="K30" s="77"/>
      <c r="L30" s="75"/>
      <c r="M30" s="77"/>
      <c r="N30" s="75">
        <v>1</v>
      </c>
      <c r="O30" s="77"/>
      <c r="P30" s="75"/>
      <c r="Q30" s="77"/>
      <c r="R30" s="75">
        <v>1</v>
      </c>
      <c r="S30" s="77">
        <v>0.5</v>
      </c>
      <c r="T30" s="5"/>
      <c r="U30" s="6"/>
      <c r="V30" s="51"/>
      <c r="W30" s="7"/>
      <c r="X30" s="7"/>
    </row>
    <row r="31" spans="1:24" s="2" customFormat="1" ht="104.25" customHeight="1" thickBot="1" x14ac:dyDescent="0.35">
      <c r="A31" s="24">
        <v>25</v>
      </c>
      <c r="B31" s="55" t="s">
        <v>57</v>
      </c>
      <c r="C31" s="74"/>
      <c r="D31" s="75">
        <v>4</v>
      </c>
      <c r="E31" s="76">
        <v>0.5</v>
      </c>
      <c r="F31" s="75"/>
      <c r="G31" s="76"/>
      <c r="H31" s="75"/>
      <c r="I31" s="77"/>
      <c r="J31" s="75">
        <v>4</v>
      </c>
      <c r="K31" s="77">
        <v>1</v>
      </c>
      <c r="L31" s="75"/>
      <c r="M31" s="77"/>
      <c r="N31" s="75">
        <v>4</v>
      </c>
      <c r="O31" s="77">
        <v>1</v>
      </c>
      <c r="P31" s="75"/>
      <c r="Q31" s="77"/>
      <c r="R31" s="75">
        <v>4</v>
      </c>
      <c r="S31" s="77">
        <v>2</v>
      </c>
      <c r="T31" s="5"/>
      <c r="U31" s="6"/>
      <c r="V31" s="51"/>
      <c r="W31" s="7"/>
      <c r="X31" s="7"/>
    </row>
    <row r="32" spans="1:24" s="2" customFormat="1" ht="30" customHeight="1" thickBot="1" x14ac:dyDescent="0.35">
      <c r="A32" s="109" t="s">
        <v>31</v>
      </c>
      <c r="B32" s="110"/>
      <c r="C32" s="25"/>
      <c r="D32" s="26">
        <f>SUM(D7:D31)</f>
        <v>7</v>
      </c>
      <c r="E32" s="26">
        <f t="shared" ref="E32:S32" si="0">SUM(E7:E31)</f>
        <v>4</v>
      </c>
      <c r="F32" s="26">
        <f t="shared" si="0"/>
        <v>0</v>
      </c>
      <c r="G32" s="26">
        <f t="shared" si="0"/>
        <v>0</v>
      </c>
      <c r="H32" s="26">
        <f t="shared" si="0"/>
        <v>0</v>
      </c>
      <c r="I32" s="26">
        <f t="shared" si="0"/>
        <v>0</v>
      </c>
      <c r="J32" s="26">
        <f t="shared" si="0"/>
        <v>32</v>
      </c>
      <c r="K32" s="26">
        <f t="shared" si="0"/>
        <v>10.25</v>
      </c>
      <c r="L32" s="26">
        <f t="shared" si="0"/>
        <v>0</v>
      </c>
      <c r="M32" s="26">
        <f t="shared" si="0"/>
        <v>0</v>
      </c>
      <c r="N32" s="26">
        <f t="shared" si="0"/>
        <v>33.75</v>
      </c>
      <c r="O32" s="26">
        <f t="shared" si="0"/>
        <v>17.25</v>
      </c>
      <c r="P32" s="26">
        <f t="shared" si="0"/>
        <v>0</v>
      </c>
      <c r="Q32" s="26">
        <f t="shared" si="0"/>
        <v>0</v>
      </c>
      <c r="R32" s="26">
        <f t="shared" si="0"/>
        <v>46</v>
      </c>
      <c r="S32" s="26">
        <f t="shared" si="0"/>
        <v>35</v>
      </c>
      <c r="T32" s="8" t="e">
        <f>SUM(#REF!)</f>
        <v>#REF!</v>
      </c>
      <c r="U32" s="8" t="e">
        <f>SUM(#REF!)</f>
        <v>#REF!</v>
      </c>
      <c r="V32" s="3"/>
      <c r="W32" s="7"/>
      <c r="X32" s="7"/>
    </row>
    <row r="33" spans="1:24" s="2" customFormat="1" ht="30" customHeight="1" thickBot="1" x14ac:dyDescent="0.35">
      <c r="A33" s="109" t="s">
        <v>32</v>
      </c>
      <c r="B33" s="110"/>
      <c r="C33" s="25"/>
      <c r="D33" s="27">
        <f>D32/6</f>
        <v>1.1666666666666667</v>
      </c>
      <c r="E33" s="27">
        <f>E32/7.5</f>
        <v>0.53333333333333333</v>
      </c>
      <c r="F33" s="27">
        <f t="shared" ref="F33" si="1">F32/6</f>
        <v>0</v>
      </c>
      <c r="G33" s="27">
        <f t="shared" ref="G33" si="2">G32/7.5</f>
        <v>0</v>
      </c>
      <c r="H33" s="27">
        <f t="shared" ref="H33" si="3">H32/6</f>
        <v>0</v>
      </c>
      <c r="I33" s="27">
        <f t="shared" ref="I33" si="4">I32/7.5</f>
        <v>0</v>
      </c>
      <c r="J33" s="27">
        <f t="shared" ref="J33" si="5">J32/6</f>
        <v>5.333333333333333</v>
      </c>
      <c r="K33" s="27">
        <f t="shared" ref="K33" si="6">K32/7.5</f>
        <v>1.3666666666666667</v>
      </c>
      <c r="L33" s="27">
        <f t="shared" ref="L33" si="7">L32/6</f>
        <v>0</v>
      </c>
      <c r="M33" s="27">
        <f t="shared" ref="M33" si="8">M32/7.5</f>
        <v>0</v>
      </c>
      <c r="N33" s="27">
        <f t="shared" ref="N33" si="9">N32/6</f>
        <v>5.625</v>
      </c>
      <c r="O33" s="27">
        <f t="shared" ref="O33" si="10">O32/7.5</f>
        <v>2.2999999999999998</v>
      </c>
      <c r="P33" s="27">
        <f t="shared" ref="P33" si="11">P32/6</f>
        <v>0</v>
      </c>
      <c r="Q33" s="27">
        <f t="shared" ref="Q33" si="12">Q32/7.5</f>
        <v>0</v>
      </c>
      <c r="R33" s="27">
        <f t="shared" ref="R33" si="13">R32/6</f>
        <v>7.666666666666667</v>
      </c>
      <c r="S33" s="27">
        <f t="shared" ref="S33" si="14">S32/7.5</f>
        <v>4.666666666666667</v>
      </c>
      <c r="T33" s="9" t="e">
        <f t="shared" ref="T33" si="15">T32/6</f>
        <v>#REF!</v>
      </c>
      <c r="U33" s="9" t="e">
        <f t="shared" ref="U33" si="16">U32/7.5</f>
        <v>#REF!</v>
      </c>
      <c r="V33" s="3"/>
      <c r="W33" s="7"/>
      <c r="X33" s="7"/>
    </row>
    <row r="34" spans="1:24" s="2" customFormat="1" ht="30" customHeight="1" thickBot="1" x14ac:dyDescent="0.35">
      <c r="A34" s="111" t="s">
        <v>34</v>
      </c>
      <c r="B34" s="112"/>
      <c r="C34" s="28"/>
      <c r="D34" s="113">
        <f>D33+E33</f>
        <v>1.7000000000000002</v>
      </c>
      <c r="E34" s="114"/>
      <c r="F34" s="115">
        <f t="shared" ref="F34" si="17">F33+G33</f>
        <v>0</v>
      </c>
      <c r="G34" s="114"/>
      <c r="H34" s="115">
        <f t="shared" ref="H34" si="18">H33+I33</f>
        <v>0</v>
      </c>
      <c r="I34" s="114"/>
      <c r="J34" s="113">
        <f t="shared" ref="J34" si="19">J33+K33</f>
        <v>6.6999999999999993</v>
      </c>
      <c r="K34" s="114"/>
      <c r="L34" s="115">
        <f t="shared" ref="L34" si="20">L33+M33</f>
        <v>0</v>
      </c>
      <c r="M34" s="114"/>
      <c r="N34" s="115">
        <f t="shared" ref="N34" si="21">N33+O33</f>
        <v>7.9249999999999998</v>
      </c>
      <c r="O34" s="114"/>
      <c r="P34" s="115">
        <f t="shared" ref="P34" si="22">P33+Q33</f>
        <v>0</v>
      </c>
      <c r="Q34" s="114"/>
      <c r="R34" s="115">
        <f t="shared" ref="R34" si="23">R33+S33</f>
        <v>12.333333333333334</v>
      </c>
      <c r="S34" s="114"/>
      <c r="T34" s="116" t="e">
        <f t="shared" ref="T34" si="24">T33+U33</f>
        <v>#REF!</v>
      </c>
      <c r="U34" s="117"/>
      <c r="V34" s="3"/>
      <c r="W34" s="7"/>
      <c r="X34" s="7"/>
    </row>
    <row r="35" spans="1:24" s="2" customFormat="1" ht="18.600000000000001" thickBot="1" x14ac:dyDescent="0.4">
      <c r="A35" s="118" t="s">
        <v>4</v>
      </c>
      <c r="B35" s="119"/>
      <c r="C35" s="118"/>
      <c r="D35" s="122" t="s">
        <v>1</v>
      </c>
      <c r="E35" s="123"/>
      <c r="F35" s="123"/>
      <c r="G35" s="124"/>
      <c r="H35" s="123"/>
      <c r="I35" s="124"/>
      <c r="J35" s="122" t="s">
        <v>33</v>
      </c>
      <c r="K35" s="123"/>
      <c r="L35" s="123"/>
      <c r="M35" s="124"/>
      <c r="N35" s="122" t="s">
        <v>27</v>
      </c>
      <c r="O35" s="123"/>
      <c r="P35" s="123"/>
      <c r="Q35" s="124"/>
      <c r="R35" s="140"/>
      <c r="S35" s="125"/>
      <c r="T35" s="125"/>
      <c r="U35" s="126"/>
      <c r="V35" s="3"/>
      <c r="W35" s="7"/>
      <c r="X35" s="7"/>
    </row>
    <row r="36" spans="1:24" s="2" customFormat="1" ht="22.2" customHeight="1" thickBot="1" x14ac:dyDescent="0.35">
      <c r="A36" s="120"/>
      <c r="B36" s="121"/>
      <c r="C36" s="120"/>
      <c r="D36" s="11" t="s">
        <v>2</v>
      </c>
      <c r="E36" s="12" t="s">
        <v>3</v>
      </c>
      <c r="F36" s="11" t="s">
        <v>2</v>
      </c>
      <c r="G36" s="12" t="s">
        <v>3</v>
      </c>
      <c r="H36" s="13" t="s">
        <v>2</v>
      </c>
      <c r="I36" s="14" t="s">
        <v>3</v>
      </c>
      <c r="J36" s="4" t="s">
        <v>2</v>
      </c>
      <c r="K36" s="15" t="s">
        <v>3</v>
      </c>
      <c r="L36" s="13" t="s">
        <v>2</v>
      </c>
      <c r="M36" s="14" t="s">
        <v>3</v>
      </c>
      <c r="N36" s="4" t="s">
        <v>2</v>
      </c>
      <c r="O36" s="15" t="s">
        <v>3</v>
      </c>
      <c r="P36" s="13" t="s">
        <v>2</v>
      </c>
      <c r="Q36" s="14" t="s">
        <v>3</v>
      </c>
      <c r="R36" s="13" t="s">
        <v>2</v>
      </c>
      <c r="S36" s="16" t="s">
        <v>3</v>
      </c>
      <c r="T36" s="13" t="s">
        <v>2</v>
      </c>
      <c r="U36" s="14" t="s">
        <v>3</v>
      </c>
      <c r="V36" s="3"/>
      <c r="W36" s="7"/>
      <c r="X36" s="7"/>
    </row>
    <row r="37" spans="1:24" s="84" customFormat="1" ht="39.6" customHeight="1" thickBot="1" x14ac:dyDescent="0.35">
      <c r="A37" s="78">
        <v>1</v>
      </c>
      <c r="B37" s="31" t="s">
        <v>29</v>
      </c>
      <c r="C37" s="32"/>
      <c r="D37" s="79">
        <v>0</v>
      </c>
      <c r="E37" s="80">
        <v>0</v>
      </c>
      <c r="F37" s="79"/>
      <c r="G37" s="80"/>
      <c r="H37" s="79"/>
      <c r="I37" s="81"/>
      <c r="J37" s="79">
        <v>0</v>
      </c>
      <c r="K37" s="81">
        <v>1</v>
      </c>
      <c r="L37" s="79"/>
      <c r="M37" s="81"/>
      <c r="N37" s="79">
        <v>0</v>
      </c>
      <c r="O37" s="81">
        <v>3</v>
      </c>
      <c r="P37" s="79"/>
      <c r="Q37" s="81"/>
      <c r="R37" s="79">
        <v>0</v>
      </c>
      <c r="S37" s="81">
        <v>2</v>
      </c>
      <c r="T37" s="79"/>
      <c r="U37" s="81"/>
      <c r="V37" s="82"/>
      <c r="W37" s="83"/>
      <c r="X37" s="83"/>
    </row>
    <row r="38" spans="1:24" s="84" customFormat="1" ht="30" customHeight="1" thickBot="1" x14ac:dyDescent="0.35">
      <c r="A38" s="85">
        <v>2</v>
      </c>
      <c r="B38" s="31" t="s">
        <v>28</v>
      </c>
      <c r="C38" s="32"/>
      <c r="D38" s="79">
        <v>0</v>
      </c>
      <c r="E38" s="80">
        <v>0</v>
      </c>
      <c r="F38" s="79"/>
      <c r="G38" s="80"/>
      <c r="H38" s="79"/>
      <c r="I38" s="81"/>
      <c r="J38" s="79">
        <v>0</v>
      </c>
      <c r="K38" s="81">
        <v>0</v>
      </c>
      <c r="L38" s="79"/>
      <c r="M38" s="81"/>
      <c r="N38" s="79">
        <v>0</v>
      </c>
      <c r="O38" s="81"/>
      <c r="P38" s="79"/>
      <c r="Q38" s="81"/>
      <c r="R38" s="79">
        <v>0</v>
      </c>
      <c r="S38" s="81">
        <v>3</v>
      </c>
      <c r="T38" s="79"/>
      <c r="U38" s="81"/>
      <c r="V38" s="82"/>
      <c r="W38" s="83"/>
      <c r="X38" s="83"/>
    </row>
    <row r="39" spans="1:24" s="84" customFormat="1" ht="30" customHeight="1" thickBot="1" x14ac:dyDescent="0.35">
      <c r="A39" s="85">
        <v>3</v>
      </c>
      <c r="B39" s="31" t="s">
        <v>5</v>
      </c>
      <c r="C39" s="32"/>
      <c r="D39" s="79">
        <v>0</v>
      </c>
      <c r="E39" s="80">
        <v>0</v>
      </c>
      <c r="F39" s="79"/>
      <c r="G39" s="80"/>
      <c r="H39" s="79"/>
      <c r="I39" s="81"/>
      <c r="J39" s="79">
        <v>0</v>
      </c>
      <c r="K39" s="81">
        <v>0.5</v>
      </c>
      <c r="L39" s="79"/>
      <c r="M39" s="81"/>
      <c r="N39" s="79">
        <v>0</v>
      </c>
      <c r="O39" s="81">
        <v>0.5</v>
      </c>
      <c r="P39" s="79"/>
      <c r="Q39" s="81"/>
      <c r="R39" s="79">
        <v>0</v>
      </c>
      <c r="S39" s="81">
        <v>1.5</v>
      </c>
      <c r="T39" s="79"/>
      <c r="U39" s="81"/>
      <c r="V39" s="82"/>
      <c r="W39" s="83"/>
      <c r="X39" s="83"/>
    </row>
    <row r="40" spans="1:24" s="84" customFormat="1" ht="30" customHeight="1" thickBot="1" x14ac:dyDescent="0.35">
      <c r="A40" s="86">
        <v>4</v>
      </c>
      <c r="B40" s="31" t="s">
        <v>6</v>
      </c>
      <c r="C40" s="32"/>
      <c r="D40" s="79">
        <v>0</v>
      </c>
      <c r="E40" s="80">
        <v>0</v>
      </c>
      <c r="F40" s="79"/>
      <c r="G40" s="80"/>
      <c r="H40" s="79"/>
      <c r="I40" s="81"/>
      <c r="J40" s="79">
        <v>0</v>
      </c>
      <c r="K40" s="81">
        <v>0.5</v>
      </c>
      <c r="L40" s="79"/>
      <c r="M40" s="81"/>
      <c r="N40" s="79">
        <v>0</v>
      </c>
      <c r="O40" s="81">
        <v>0.5</v>
      </c>
      <c r="P40" s="79"/>
      <c r="Q40" s="81"/>
      <c r="R40" s="79">
        <v>0</v>
      </c>
      <c r="S40" s="81">
        <v>0.5</v>
      </c>
      <c r="T40" s="79"/>
      <c r="U40" s="81"/>
      <c r="V40" s="82"/>
      <c r="W40" s="83"/>
      <c r="X40" s="83"/>
    </row>
    <row r="41" spans="1:24" s="84" customFormat="1" ht="30" customHeight="1" thickBot="1" x14ac:dyDescent="0.35">
      <c r="A41" s="85">
        <v>5</v>
      </c>
      <c r="B41" s="31" t="s">
        <v>22</v>
      </c>
      <c r="C41" s="32"/>
      <c r="D41" s="79">
        <v>0</v>
      </c>
      <c r="E41" s="80">
        <v>0</v>
      </c>
      <c r="F41" s="79"/>
      <c r="G41" s="80"/>
      <c r="H41" s="79"/>
      <c r="I41" s="81"/>
      <c r="J41" s="79">
        <v>0</v>
      </c>
      <c r="K41" s="81">
        <v>1</v>
      </c>
      <c r="L41" s="79"/>
      <c r="M41" s="81"/>
      <c r="N41" s="79">
        <v>0</v>
      </c>
      <c r="O41" s="81"/>
      <c r="P41" s="79"/>
      <c r="Q41" s="81"/>
      <c r="R41" s="79">
        <v>0</v>
      </c>
      <c r="S41" s="81">
        <v>1</v>
      </c>
      <c r="T41" s="79"/>
      <c r="U41" s="81"/>
      <c r="V41" s="82"/>
      <c r="W41" s="83"/>
      <c r="X41" s="83"/>
    </row>
    <row r="42" spans="1:24" s="84" customFormat="1" ht="36" customHeight="1" thickBot="1" x14ac:dyDescent="0.35">
      <c r="A42" s="86">
        <v>6</v>
      </c>
      <c r="B42" s="31" t="s">
        <v>30</v>
      </c>
      <c r="C42" s="32"/>
      <c r="D42" s="79">
        <v>0</v>
      </c>
      <c r="E42" s="80">
        <v>0</v>
      </c>
      <c r="F42" s="79"/>
      <c r="G42" s="80"/>
      <c r="H42" s="79"/>
      <c r="I42" s="81"/>
      <c r="J42" s="79">
        <v>0</v>
      </c>
      <c r="K42" s="81">
        <v>0</v>
      </c>
      <c r="L42" s="79"/>
      <c r="M42" s="81"/>
      <c r="N42" s="79">
        <v>0</v>
      </c>
      <c r="O42" s="81">
        <v>0</v>
      </c>
      <c r="P42" s="79"/>
      <c r="Q42" s="81"/>
      <c r="R42" s="79">
        <v>0</v>
      </c>
      <c r="S42" s="81">
        <v>0</v>
      </c>
      <c r="T42" s="79"/>
      <c r="U42" s="81"/>
      <c r="V42" s="82"/>
      <c r="W42" s="83"/>
      <c r="X42" s="83"/>
    </row>
    <row r="43" spans="1:24" s="84" customFormat="1" ht="30" customHeight="1" thickBot="1" x14ac:dyDescent="0.35">
      <c r="A43" s="85">
        <v>7</v>
      </c>
      <c r="B43" s="31" t="s">
        <v>23</v>
      </c>
      <c r="C43" s="32"/>
      <c r="D43" s="79">
        <v>0</v>
      </c>
      <c r="E43" s="80">
        <v>0</v>
      </c>
      <c r="F43" s="79"/>
      <c r="G43" s="80"/>
      <c r="H43" s="79"/>
      <c r="I43" s="81"/>
      <c r="J43" s="79">
        <v>0</v>
      </c>
      <c r="K43" s="81">
        <v>1</v>
      </c>
      <c r="L43" s="79"/>
      <c r="M43" s="81"/>
      <c r="N43" s="79">
        <v>0</v>
      </c>
      <c r="O43" s="81"/>
      <c r="P43" s="79"/>
      <c r="Q43" s="81"/>
      <c r="R43" s="79">
        <v>0</v>
      </c>
      <c r="S43" s="81">
        <v>4</v>
      </c>
      <c r="T43" s="79"/>
      <c r="U43" s="81"/>
      <c r="V43" s="82"/>
      <c r="W43" s="83"/>
      <c r="X43" s="83"/>
    </row>
    <row r="44" spans="1:24" s="84" customFormat="1" ht="30" customHeight="1" thickBot="1" x14ac:dyDescent="0.35">
      <c r="A44" s="86">
        <v>8</v>
      </c>
      <c r="B44" s="31" t="s">
        <v>26</v>
      </c>
      <c r="C44" s="32"/>
      <c r="D44" s="79">
        <v>0</v>
      </c>
      <c r="E44" s="80">
        <v>0</v>
      </c>
      <c r="F44" s="79"/>
      <c r="G44" s="80"/>
      <c r="H44" s="79"/>
      <c r="I44" s="81"/>
      <c r="J44" s="79">
        <v>0</v>
      </c>
      <c r="K44" s="81">
        <v>0</v>
      </c>
      <c r="L44" s="79"/>
      <c r="M44" s="81"/>
      <c r="N44" s="79">
        <v>0</v>
      </c>
      <c r="O44" s="81">
        <v>0.5</v>
      </c>
      <c r="P44" s="79"/>
      <c r="Q44" s="81"/>
      <c r="R44" s="79">
        <v>0</v>
      </c>
      <c r="S44" s="81">
        <v>0.5</v>
      </c>
      <c r="T44" s="79"/>
      <c r="U44" s="81"/>
      <c r="V44" s="82"/>
      <c r="W44" s="83"/>
      <c r="X44" s="83"/>
    </row>
    <row r="45" spans="1:24" s="84" customFormat="1" ht="36" customHeight="1" thickBot="1" x14ac:dyDescent="0.35">
      <c r="A45" s="85">
        <v>9</v>
      </c>
      <c r="B45" s="31" t="s">
        <v>24</v>
      </c>
      <c r="C45" s="32"/>
      <c r="D45" s="79">
        <v>0</v>
      </c>
      <c r="E45" s="80">
        <v>0</v>
      </c>
      <c r="F45" s="79"/>
      <c r="G45" s="80"/>
      <c r="H45" s="79"/>
      <c r="I45" s="81"/>
      <c r="J45" s="79">
        <v>0</v>
      </c>
      <c r="K45" s="81">
        <v>0</v>
      </c>
      <c r="L45" s="79"/>
      <c r="M45" s="81"/>
      <c r="N45" s="79">
        <v>0</v>
      </c>
      <c r="O45" s="81">
        <v>0.5</v>
      </c>
      <c r="P45" s="79"/>
      <c r="Q45" s="81"/>
      <c r="R45" s="79">
        <v>0</v>
      </c>
      <c r="S45" s="81">
        <v>0.5</v>
      </c>
      <c r="T45" s="79"/>
      <c r="U45" s="81"/>
      <c r="V45" s="82"/>
      <c r="W45" s="83"/>
      <c r="X45" s="83"/>
    </row>
    <row r="46" spans="1:24" s="84" customFormat="1" ht="30" customHeight="1" thickBot="1" x14ac:dyDescent="0.35">
      <c r="A46" s="86">
        <v>10</v>
      </c>
      <c r="B46" s="31" t="s">
        <v>7</v>
      </c>
      <c r="C46" s="32"/>
      <c r="D46" s="79">
        <v>0</v>
      </c>
      <c r="E46" s="80">
        <v>0</v>
      </c>
      <c r="F46" s="79"/>
      <c r="G46" s="80"/>
      <c r="H46" s="79"/>
      <c r="I46" s="81"/>
      <c r="J46" s="79">
        <v>0</v>
      </c>
      <c r="K46" s="81">
        <v>0</v>
      </c>
      <c r="L46" s="79"/>
      <c r="M46" s="81"/>
      <c r="N46" s="79">
        <v>0</v>
      </c>
      <c r="O46" s="81">
        <v>0</v>
      </c>
      <c r="P46" s="79"/>
      <c r="Q46" s="81"/>
      <c r="R46" s="79">
        <v>0</v>
      </c>
      <c r="S46" s="81">
        <v>0</v>
      </c>
      <c r="T46" s="79"/>
      <c r="U46" s="81"/>
      <c r="V46" s="82"/>
      <c r="W46" s="82"/>
      <c r="X46" s="82"/>
    </row>
    <row r="47" spans="1:24" s="49" customFormat="1" ht="30" customHeight="1" thickBot="1" x14ac:dyDescent="0.35">
      <c r="A47" s="109" t="s">
        <v>16</v>
      </c>
      <c r="B47" s="127"/>
      <c r="C47" s="48"/>
      <c r="D47" s="41">
        <f t="shared" ref="D47:U47" si="25">SUM(D37:D46)</f>
        <v>0</v>
      </c>
      <c r="E47" s="41">
        <f t="shared" si="25"/>
        <v>0</v>
      </c>
      <c r="F47" s="41">
        <f t="shared" si="25"/>
        <v>0</v>
      </c>
      <c r="G47" s="41">
        <f t="shared" si="25"/>
        <v>0</v>
      </c>
      <c r="H47" s="41">
        <f t="shared" si="25"/>
        <v>0</v>
      </c>
      <c r="I47" s="41">
        <f t="shared" si="25"/>
        <v>0</v>
      </c>
      <c r="J47" s="41">
        <f t="shared" si="25"/>
        <v>0</v>
      </c>
      <c r="K47" s="41">
        <f t="shared" si="25"/>
        <v>4</v>
      </c>
      <c r="L47" s="41">
        <f t="shared" si="25"/>
        <v>0</v>
      </c>
      <c r="M47" s="41">
        <f t="shared" si="25"/>
        <v>0</v>
      </c>
      <c r="N47" s="41">
        <f t="shared" si="25"/>
        <v>0</v>
      </c>
      <c r="O47" s="41">
        <f t="shared" si="25"/>
        <v>5</v>
      </c>
      <c r="P47" s="41">
        <f t="shared" si="25"/>
        <v>0</v>
      </c>
      <c r="Q47" s="41">
        <f t="shared" si="25"/>
        <v>0</v>
      </c>
      <c r="R47" s="41">
        <f t="shared" si="25"/>
        <v>0</v>
      </c>
      <c r="S47" s="41">
        <f t="shared" si="25"/>
        <v>13</v>
      </c>
      <c r="T47" s="41">
        <f t="shared" si="25"/>
        <v>0</v>
      </c>
      <c r="U47" s="41">
        <f t="shared" si="25"/>
        <v>0</v>
      </c>
      <c r="V47" s="42"/>
      <c r="W47" s="42"/>
      <c r="X47" s="42"/>
    </row>
    <row r="48" spans="1:24" s="49" customFormat="1" ht="30" customHeight="1" thickBot="1" x14ac:dyDescent="0.35">
      <c r="A48" s="109" t="s">
        <v>17</v>
      </c>
      <c r="B48" s="110"/>
      <c r="C48" s="25"/>
      <c r="D48" s="27">
        <f>D47/6</f>
        <v>0</v>
      </c>
      <c r="E48" s="27">
        <f>E47/7.5</f>
        <v>0</v>
      </c>
      <c r="F48" s="27">
        <f t="shared" ref="F48" si="26">F47/6</f>
        <v>0</v>
      </c>
      <c r="G48" s="27">
        <f t="shared" ref="G48" si="27">G47/7.5</f>
        <v>0</v>
      </c>
      <c r="H48" s="27">
        <f t="shared" ref="H48" si="28">H47/6</f>
        <v>0</v>
      </c>
      <c r="I48" s="27">
        <f t="shared" ref="I48" si="29">I47/7.5</f>
        <v>0</v>
      </c>
      <c r="J48" s="27">
        <f t="shared" ref="J48" si="30">J47/6</f>
        <v>0</v>
      </c>
      <c r="K48" s="27">
        <f t="shared" ref="K48" si="31">K47/7.5</f>
        <v>0.53333333333333333</v>
      </c>
      <c r="L48" s="27">
        <f t="shared" ref="L48" si="32">L47/6</f>
        <v>0</v>
      </c>
      <c r="M48" s="27">
        <f t="shared" ref="M48" si="33">M47/7.5</f>
        <v>0</v>
      </c>
      <c r="N48" s="27">
        <f t="shared" ref="N48" si="34">N47/6</f>
        <v>0</v>
      </c>
      <c r="O48" s="27">
        <f t="shared" ref="O48" si="35">O47/7.5</f>
        <v>0.66666666666666663</v>
      </c>
      <c r="P48" s="27">
        <f t="shared" ref="P48" si="36">P47/6</f>
        <v>0</v>
      </c>
      <c r="Q48" s="27">
        <f t="shared" ref="Q48" si="37">Q47/7.5</f>
        <v>0</v>
      </c>
      <c r="R48" s="27">
        <f t="shared" ref="R48" si="38">R47/6</f>
        <v>0</v>
      </c>
      <c r="S48" s="27">
        <f t="shared" ref="S48" si="39">S47/7.5</f>
        <v>1.7333333333333334</v>
      </c>
      <c r="T48" s="27">
        <f t="shared" ref="T48" si="40">T47/6</f>
        <v>0</v>
      </c>
      <c r="U48" s="27">
        <f t="shared" ref="U48" si="41">U47/7.5</f>
        <v>0</v>
      </c>
      <c r="V48" s="42"/>
      <c r="W48" s="42"/>
      <c r="X48" s="42"/>
    </row>
    <row r="49" spans="1:24" s="49" customFormat="1" ht="30" customHeight="1" thickBot="1" x14ac:dyDescent="0.35">
      <c r="A49" s="111" t="s">
        <v>35</v>
      </c>
      <c r="B49" s="112"/>
      <c r="C49" s="28"/>
      <c r="D49" s="113">
        <f>D48+E48</f>
        <v>0</v>
      </c>
      <c r="E49" s="114"/>
      <c r="F49" s="115">
        <f t="shared" ref="F49" si="42">F48+G48</f>
        <v>0</v>
      </c>
      <c r="G49" s="114"/>
      <c r="H49" s="115">
        <f t="shared" ref="H49" si="43">H48+I48</f>
        <v>0</v>
      </c>
      <c r="I49" s="114"/>
      <c r="J49" s="113">
        <f t="shared" ref="J49" si="44">J48+K48</f>
        <v>0.53333333333333333</v>
      </c>
      <c r="K49" s="114"/>
      <c r="L49" s="115">
        <f t="shared" ref="L49" si="45">L48+M48</f>
        <v>0</v>
      </c>
      <c r="M49" s="114"/>
      <c r="N49" s="115">
        <f t="shared" ref="N49" si="46">N48+O48</f>
        <v>0.66666666666666663</v>
      </c>
      <c r="O49" s="114"/>
      <c r="P49" s="115">
        <f t="shared" ref="P49" si="47">P48+Q48</f>
        <v>0</v>
      </c>
      <c r="Q49" s="114"/>
      <c r="R49" s="115">
        <f t="shared" ref="R49" si="48">R48+S48</f>
        <v>1.7333333333333334</v>
      </c>
      <c r="S49" s="114"/>
      <c r="T49" s="115">
        <f t="shared" ref="T49" si="49">T48+U48</f>
        <v>0</v>
      </c>
      <c r="U49" s="114"/>
      <c r="V49" s="42"/>
      <c r="W49" s="42"/>
      <c r="X49" s="42"/>
    </row>
    <row r="50" spans="1:24" s="50" customFormat="1" ht="30" customHeight="1" thickBot="1" x14ac:dyDescent="0.35">
      <c r="A50" s="131" t="s">
        <v>13</v>
      </c>
      <c r="B50" s="132"/>
      <c r="C50" s="26"/>
      <c r="D50" s="41">
        <f>SUM(D32,D47)</f>
        <v>7</v>
      </c>
      <c r="E50" s="41">
        <f t="shared" ref="E50:S50" si="50">SUM(E32,E47)</f>
        <v>4</v>
      </c>
      <c r="F50" s="41">
        <f t="shared" si="50"/>
        <v>0</v>
      </c>
      <c r="G50" s="41">
        <f t="shared" si="50"/>
        <v>0</v>
      </c>
      <c r="H50" s="41">
        <f t="shared" si="50"/>
        <v>0</v>
      </c>
      <c r="I50" s="41">
        <f t="shared" si="50"/>
        <v>0</v>
      </c>
      <c r="J50" s="41">
        <f t="shared" si="50"/>
        <v>32</v>
      </c>
      <c r="K50" s="41">
        <f t="shared" si="50"/>
        <v>14.25</v>
      </c>
      <c r="L50" s="41">
        <f t="shared" si="50"/>
        <v>0</v>
      </c>
      <c r="M50" s="41">
        <f t="shared" si="50"/>
        <v>0</v>
      </c>
      <c r="N50" s="41">
        <f t="shared" si="50"/>
        <v>33.75</v>
      </c>
      <c r="O50" s="41">
        <f t="shared" si="50"/>
        <v>22.25</v>
      </c>
      <c r="P50" s="41">
        <f t="shared" si="50"/>
        <v>0</v>
      </c>
      <c r="Q50" s="41">
        <f t="shared" si="50"/>
        <v>0</v>
      </c>
      <c r="R50" s="41">
        <f t="shared" si="50"/>
        <v>46</v>
      </c>
      <c r="S50" s="41">
        <f t="shared" si="50"/>
        <v>48</v>
      </c>
      <c r="T50" s="17" t="e">
        <f>SUM(T32,#REF!,T47)</f>
        <v>#REF!</v>
      </c>
      <c r="U50" s="17" t="e">
        <f>SUM(U32,#REF!,U47)</f>
        <v>#REF!</v>
      </c>
      <c r="V50" s="3"/>
      <c r="W50" s="3"/>
      <c r="X50" s="3"/>
    </row>
    <row r="51" spans="1:24" s="50" customFormat="1" ht="30" customHeight="1" thickBot="1" x14ac:dyDescent="0.35">
      <c r="A51" s="131" t="s">
        <v>15</v>
      </c>
      <c r="B51" s="132"/>
      <c r="C51" s="26"/>
      <c r="D51" s="27">
        <f>D50/6</f>
        <v>1.1666666666666667</v>
      </c>
      <c r="E51" s="43">
        <f>E50/7.5</f>
        <v>0.53333333333333333</v>
      </c>
      <c r="F51" s="27">
        <f t="shared" ref="F51" si="51">F50/6</f>
        <v>0</v>
      </c>
      <c r="G51" s="43">
        <f t="shared" ref="G51" si="52">G50/7.5</f>
        <v>0</v>
      </c>
      <c r="H51" s="27">
        <f t="shared" ref="H51" si="53">H50/6</f>
        <v>0</v>
      </c>
      <c r="I51" s="43">
        <f t="shared" ref="I51" si="54">I50/7.5</f>
        <v>0</v>
      </c>
      <c r="J51" s="27">
        <f t="shared" ref="J51" si="55">J50/6</f>
        <v>5.333333333333333</v>
      </c>
      <c r="K51" s="43">
        <f t="shared" ref="K51" si="56">K50/7.5</f>
        <v>1.9</v>
      </c>
      <c r="L51" s="27">
        <f t="shared" ref="L51" si="57">L50/6</f>
        <v>0</v>
      </c>
      <c r="M51" s="43">
        <f t="shared" ref="M51" si="58">M50/7.5</f>
        <v>0</v>
      </c>
      <c r="N51" s="27">
        <f t="shared" ref="N51" si="59">N50/6</f>
        <v>5.625</v>
      </c>
      <c r="O51" s="43">
        <f t="shared" ref="O51" si="60">O50/7.5</f>
        <v>2.9666666666666668</v>
      </c>
      <c r="P51" s="27">
        <f t="shared" ref="P51" si="61">P50/6</f>
        <v>0</v>
      </c>
      <c r="Q51" s="43">
        <f t="shared" ref="Q51" si="62">Q50/7.5</f>
        <v>0</v>
      </c>
      <c r="R51" s="27">
        <f t="shared" ref="R51" si="63">R50/6</f>
        <v>7.666666666666667</v>
      </c>
      <c r="S51" s="43">
        <f t="shared" ref="S51" si="64">S50/7.5</f>
        <v>6.4</v>
      </c>
      <c r="T51" s="9" t="e">
        <f t="shared" ref="T51" si="65">T50/6</f>
        <v>#REF!</v>
      </c>
      <c r="U51" s="18" t="e">
        <f t="shared" ref="U51" si="66">U50/7.5</f>
        <v>#REF!</v>
      </c>
      <c r="V51" s="3"/>
      <c r="W51" s="3"/>
      <c r="X51" s="3"/>
    </row>
    <row r="52" spans="1:24" s="50" customFormat="1" ht="30" customHeight="1" thickBot="1" x14ac:dyDescent="0.35">
      <c r="A52" s="122" t="s">
        <v>36</v>
      </c>
      <c r="B52" s="123"/>
      <c r="C52" s="10"/>
      <c r="D52" s="130">
        <f>D51+E51</f>
        <v>1.7000000000000002</v>
      </c>
      <c r="E52" s="129"/>
      <c r="F52" s="128">
        <f t="shared" ref="F52" si="67">F51+G51</f>
        <v>0</v>
      </c>
      <c r="G52" s="129"/>
      <c r="H52" s="128">
        <f t="shared" ref="H52" si="68">H51+I51</f>
        <v>0</v>
      </c>
      <c r="I52" s="129"/>
      <c r="J52" s="130">
        <f t="shared" ref="J52" si="69">J51+K51</f>
        <v>7.2333333333333325</v>
      </c>
      <c r="K52" s="129"/>
      <c r="L52" s="128">
        <f t="shared" ref="L52" si="70">L51+M51</f>
        <v>0</v>
      </c>
      <c r="M52" s="129"/>
      <c r="N52" s="128">
        <f t="shared" ref="N52" si="71">N51+O51</f>
        <v>8.5916666666666668</v>
      </c>
      <c r="O52" s="129"/>
      <c r="P52" s="128">
        <f t="shared" ref="P52" si="72">P51+Q51</f>
        <v>0</v>
      </c>
      <c r="Q52" s="129"/>
      <c r="R52" s="128">
        <f t="shared" ref="R52" si="73">R51+S51</f>
        <v>14.066666666666666</v>
      </c>
      <c r="S52" s="129"/>
      <c r="T52" s="138" t="e">
        <f t="shared" ref="T52" si="74">T51+U51</f>
        <v>#REF!</v>
      </c>
      <c r="U52" s="139"/>
      <c r="V52" s="3"/>
      <c r="W52" s="3"/>
      <c r="X52" s="3"/>
    </row>
    <row r="53" spans="1:24" s="50" customFormat="1" ht="30" customHeight="1" thickBot="1" x14ac:dyDescent="0.35">
      <c r="A53" s="135" t="s">
        <v>8</v>
      </c>
      <c r="B53" s="137"/>
      <c r="C53" s="44"/>
      <c r="D53" s="46"/>
      <c r="E53" s="46"/>
      <c r="F53" s="45"/>
      <c r="G53" s="46"/>
      <c r="H53" s="45"/>
      <c r="I53" s="46"/>
      <c r="J53" s="29"/>
      <c r="K53" s="47"/>
      <c r="L53" s="45"/>
      <c r="M53" s="46"/>
      <c r="N53" s="45"/>
      <c r="O53" s="46"/>
      <c r="P53" s="45"/>
      <c r="Q53" s="46"/>
      <c r="R53" s="45"/>
      <c r="S53" s="46"/>
      <c r="T53" s="20">
        <v>0</v>
      </c>
      <c r="U53" s="19">
        <v>0</v>
      </c>
      <c r="V53" s="3"/>
      <c r="W53" s="3"/>
      <c r="X53" s="3"/>
    </row>
    <row r="54" spans="1:24" s="50" customFormat="1" ht="30" customHeight="1" thickBot="1" x14ac:dyDescent="0.35">
      <c r="A54" s="135" t="s">
        <v>9</v>
      </c>
      <c r="B54" s="136"/>
      <c r="C54" s="44"/>
      <c r="D54" s="113"/>
      <c r="E54" s="114"/>
      <c r="F54" s="113"/>
      <c r="G54" s="114"/>
      <c r="H54" s="113"/>
      <c r="I54" s="114"/>
      <c r="J54" s="113"/>
      <c r="K54" s="114"/>
      <c r="L54" s="113"/>
      <c r="M54" s="114"/>
      <c r="N54" s="113"/>
      <c r="O54" s="114"/>
      <c r="P54" s="113"/>
      <c r="Q54" s="114"/>
      <c r="R54" s="113"/>
      <c r="S54" s="114"/>
      <c r="T54" s="133">
        <f>T53+U53</f>
        <v>0</v>
      </c>
      <c r="U54" s="134"/>
      <c r="V54" s="3"/>
      <c r="W54" s="3"/>
      <c r="X54" s="3"/>
    </row>
    <row r="55" spans="1:24" s="50" customFormat="1" ht="30" customHeight="1" thickBot="1" x14ac:dyDescent="0.35">
      <c r="A55" s="135" t="s">
        <v>10</v>
      </c>
      <c r="B55" s="136"/>
      <c r="C55" s="44"/>
      <c r="D55" s="113">
        <f>SUM(D52+D54)</f>
        <v>1.7000000000000002</v>
      </c>
      <c r="E55" s="114"/>
      <c r="F55" s="115">
        <f>SUM(F52+F54)</f>
        <v>0</v>
      </c>
      <c r="G55" s="114"/>
      <c r="H55" s="115">
        <f>SUM(H52+H54)</f>
        <v>0</v>
      </c>
      <c r="I55" s="114"/>
      <c r="J55" s="113">
        <f>SUM(J52+J54)</f>
        <v>7.2333333333333325</v>
      </c>
      <c r="K55" s="114"/>
      <c r="L55" s="115">
        <f>SUM(L52+L54)</f>
        <v>0</v>
      </c>
      <c r="M55" s="114"/>
      <c r="N55" s="115">
        <f>SUM(N52+N54)</f>
        <v>8.5916666666666668</v>
      </c>
      <c r="O55" s="114"/>
      <c r="P55" s="115">
        <f>SUM(P52+P54)</f>
        <v>0</v>
      </c>
      <c r="Q55" s="114"/>
      <c r="R55" s="115">
        <f>SUM(R52+R54)</f>
        <v>14.066666666666666</v>
      </c>
      <c r="S55" s="114"/>
      <c r="T55" s="138" t="e">
        <f>SUM(T52+T54)</f>
        <v>#REF!</v>
      </c>
      <c r="U55" s="139"/>
      <c r="V55" s="3"/>
      <c r="W55" s="3"/>
      <c r="X55" s="3"/>
    </row>
    <row r="56" spans="1:24" s="50" customFormat="1" ht="30" customHeight="1" thickBot="1" x14ac:dyDescent="0.35">
      <c r="A56" s="135" t="s">
        <v>11</v>
      </c>
      <c r="B56" s="136"/>
      <c r="C56" s="44"/>
      <c r="D56" s="135">
        <v>24</v>
      </c>
      <c r="E56" s="137"/>
      <c r="F56" s="135"/>
      <c r="G56" s="137"/>
      <c r="H56" s="135">
        <v>25</v>
      </c>
      <c r="I56" s="137"/>
      <c r="J56" s="135">
        <v>24</v>
      </c>
      <c r="K56" s="137"/>
      <c r="L56" s="135">
        <v>25</v>
      </c>
      <c r="M56" s="137"/>
      <c r="N56" s="135">
        <v>24</v>
      </c>
      <c r="O56" s="137"/>
      <c r="P56" s="135">
        <v>25</v>
      </c>
      <c r="Q56" s="137"/>
      <c r="R56" s="135">
        <v>24</v>
      </c>
      <c r="S56" s="137"/>
      <c r="T56" s="133">
        <v>21</v>
      </c>
      <c r="U56" s="134"/>
      <c r="V56" s="3"/>
      <c r="W56" s="3"/>
      <c r="X56" s="3"/>
    </row>
    <row r="57" spans="1:24" s="50" customFormat="1" ht="30" customHeight="1" thickBot="1" x14ac:dyDescent="0.35">
      <c r="A57" s="135" t="s">
        <v>25</v>
      </c>
      <c r="B57" s="136"/>
      <c r="C57" s="44"/>
      <c r="D57" s="135"/>
      <c r="E57" s="137"/>
      <c r="F57" s="136">
        <v>21</v>
      </c>
      <c r="G57" s="137"/>
      <c r="H57" s="136">
        <v>21</v>
      </c>
      <c r="I57" s="137"/>
      <c r="J57" s="135"/>
      <c r="K57" s="137"/>
      <c r="L57" s="136">
        <v>21</v>
      </c>
      <c r="M57" s="137"/>
      <c r="N57" s="136"/>
      <c r="O57" s="137"/>
      <c r="P57" s="136">
        <v>21</v>
      </c>
      <c r="Q57" s="137"/>
      <c r="R57" s="136"/>
      <c r="S57" s="137"/>
      <c r="T57" s="133">
        <v>21</v>
      </c>
      <c r="U57" s="134"/>
      <c r="V57" s="3"/>
      <c r="W57" s="3"/>
      <c r="X57" s="3"/>
    </row>
    <row r="58" spans="1:24" s="50" customFormat="1" ht="30" customHeight="1" thickBot="1" x14ac:dyDescent="0.35">
      <c r="A58" s="135" t="s">
        <v>12</v>
      </c>
      <c r="B58" s="136"/>
      <c r="C58" s="44"/>
      <c r="D58" s="113">
        <f>D56-D55-D57</f>
        <v>22.3</v>
      </c>
      <c r="E58" s="114"/>
      <c r="F58" s="115">
        <f t="shared" ref="F58" si="75">F56-F55-F57</f>
        <v>-21</v>
      </c>
      <c r="G58" s="114"/>
      <c r="H58" s="115">
        <f t="shared" ref="H58" si="76">H56-H55-H57</f>
        <v>4</v>
      </c>
      <c r="I58" s="114"/>
      <c r="J58" s="113">
        <f t="shared" ref="J58" si="77">J56-J55-J57</f>
        <v>16.766666666666666</v>
      </c>
      <c r="K58" s="114"/>
      <c r="L58" s="115">
        <f t="shared" ref="L58" si="78">L56-L55-L57</f>
        <v>4</v>
      </c>
      <c r="M58" s="114"/>
      <c r="N58" s="115">
        <f t="shared" ref="N58" si="79">N56-N55-N57</f>
        <v>15.408333333333333</v>
      </c>
      <c r="O58" s="114"/>
      <c r="P58" s="115">
        <f t="shared" ref="P58" si="80">P56-P55-P57</f>
        <v>4</v>
      </c>
      <c r="Q58" s="114"/>
      <c r="R58" s="115">
        <f t="shared" ref="R58" si="81">R56-R55-R57</f>
        <v>9.9333333333333336</v>
      </c>
      <c r="S58" s="114"/>
      <c r="T58" s="138" t="e">
        <f>T56-T55</f>
        <v>#REF!</v>
      </c>
      <c r="U58" s="139"/>
      <c r="V58" s="3"/>
      <c r="W58" s="3"/>
      <c r="X58" s="3"/>
    </row>
  </sheetData>
  <mergeCells count="114">
    <mergeCell ref="A2:S2"/>
    <mergeCell ref="A3:S3"/>
    <mergeCell ref="D4:G4"/>
    <mergeCell ref="H4:I4"/>
    <mergeCell ref="J4:M4"/>
    <mergeCell ref="N4:Q4"/>
    <mergeCell ref="R4:U4"/>
    <mergeCell ref="V5:X5"/>
    <mergeCell ref="A32:B32"/>
    <mergeCell ref="P5:Q5"/>
    <mergeCell ref="R5:S5"/>
    <mergeCell ref="T5:U5"/>
    <mergeCell ref="A33:B33"/>
    <mergeCell ref="A34:B34"/>
    <mergeCell ref="D34:E34"/>
    <mergeCell ref="F34:G34"/>
    <mergeCell ref="H34:I34"/>
    <mergeCell ref="J34:K34"/>
    <mergeCell ref="L34:M34"/>
    <mergeCell ref="N34:O34"/>
    <mergeCell ref="J5:K5"/>
    <mergeCell ref="L5:M5"/>
    <mergeCell ref="N5:O5"/>
    <mergeCell ref="A5:A6"/>
    <mergeCell ref="B5:B6"/>
    <mergeCell ref="C5:C6"/>
    <mergeCell ref="D5:E5"/>
    <mergeCell ref="F5:G5"/>
    <mergeCell ref="H5:I5"/>
    <mergeCell ref="P34:Q34"/>
    <mergeCell ref="R34:S34"/>
    <mergeCell ref="T34:U34"/>
    <mergeCell ref="A35:B36"/>
    <mergeCell ref="C35:C36"/>
    <mergeCell ref="D35:G35"/>
    <mergeCell ref="H35:I35"/>
    <mergeCell ref="J35:M35"/>
    <mergeCell ref="N35:Q35"/>
    <mergeCell ref="R35:U35"/>
    <mergeCell ref="J49:K49"/>
    <mergeCell ref="L49:M49"/>
    <mergeCell ref="N49:O49"/>
    <mergeCell ref="P49:Q49"/>
    <mergeCell ref="R49:S49"/>
    <mergeCell ref="T49:U49"/>
    <mergeCell ref="A47:B47"/>
    <mergeCell ref="A48:B48"/>
    <mergeCell ref="A49:B49"/>
    <mergeCell ref="D49:E49"/>
    <mergeCell ref="F49:G49"/>
    <mergeCell ref="H49:I49"/>
    <mergeCell ref="P52:Q52"/>
    <mergeCell ref="R52:S52"/>
    <mergeCell ref="T52:U52"/>
    <mergeCell ref="A50:B50"/>
    <mergeCell ref="A51:B51"/>
    <mergeCell ref="A52:B52"/>
    <mergeCell ref="D52:E52"/>
    <mergeCell ref="F52:G52"/>
    <mergeCell ref="H52:I52"/>
    <mergeCell ref="A53:B53"/>
    <mergeCell ref="A54:B54"/>
    <mergeCell ref="D54:E54"/>
    <mergeCell ref="F54:G54"/>
    <mergeCell ref="H54:I54"/>
    <mergeCell ref="J54:K54"/>
    <mergeCell ref="J52:K52"/>
    <mergeCell ref="L52:M52"/>
    <mergeCell ref="N52:O52"/>
    <mergeCell ref="L54:M54"/>
    <mergeCell ref="N54:O54"/>
    <mergeCell ref="P54:Q54"/>
    <mergeCell ref="R54:S54"/>
    <mergeCell ref="T54:U54"/>
    <mergeCell ref="A55:B55"/>
    <mergeCell ref="D55:E55"/>
    <mergeCell ref="F55:G55"/>
    <mergeCell ref="H55:I55"/>
    <mergeCell ref="J55:K55"/>
    <mergeCell ref="T56:U56"/>
    <mergeCell ref="T55:U55"/>
    <mergeCell ref="L55:M55"/>
    <mergeCell ref="N55:O55"/>
    <mergeCell ref="P55:Q55"/>
    <mergeCell ref="R55:S55"/>
    <mergeCell ref="A56:B56"/>
    <mergeCell ref="D56:E56"/>
    <mergeCell ref="F56:G56"/>
    <mergeCell ref="H56:I56"/>
    <mergeCell ref="J56:K56"/>
    <mergeCell ref="L56:M56"/>
    <mergeCell ref="N56:O56"/>
    <mergeCell ref="P56:Q56"/>
    <mergeCell ref="R56:S56"/>
    <mergeCell ref="T58:U58"/>
    <mergeCell ref="L57:M57"/>
    <mergeCell ref="N57:O57"/>
    <mergeCell ref="P57:Q57"/>
    <mergeCell ref="R57:S57"/>
    <mergeCell ref="T57:U57"/>
    <mergeCell ref="A58:B58"/>
    <mergeCell ref="D58:E58"/>
    <mergeCell ref="F58:G58"/>
    <mergeCell ref="H58:I58"/>
    <mergeCell ref="J58:K58"/>
    <mergeCell ref="L58:M58"/>
    <mergeCell ref="N58:O58"/>
    <mergeCell ref="P58:Q58"/>
    <mergeCell ref="R58:S58"/>
    <mergeCell ref="A57:B57"/>
    <mergeCell ref="D57:E57"/>
    <mergeCell ref="F57:G57"/>
    <mergeCell ref="H57:I57"/>
    <mergeCell ref="J57:K57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8"/>
  <sheetViews>
    <sheetView zoomScaleNormal="100" zoomScaleSheetLayoutView="86" workbookViewId="0">
      <pane ySplit="6" topLeftCell="A18" activePane="bottomLeft" state="frozen"/>
      <selection pane="bottomLeft" activeCell="B31" sqref="B31"/>
    </sheetView>
  </sheetViews>
  <sheetFormatPr defaultRowHeight="14.4" x14ac:dyDescent="0.3"/>
  <cols>
    <col min="1" max="1" width="13.21875" customWidth="1"/>
    <col min="2" max="2" width="68.21875" customWidth="1"/>
    <col min="3" max="3" width="16.21875" customWidth="1"/>
    <col min="4" max="5" width="10.77734375" customWidth="1"/>
    <col min="6" max="7" width="10.77734375" hidden="1" customWidth="1"/>
    <col min="8" max="9" width="9.21875" hidden="1" customWidth="1"/>
    <col min="10" max="11" width="9.21875" customWidth="1"/>
    <col min="12" max="13" width="9.21875" hidden="1" customWidth="1"/>
    <col min="14" max="15" width="9.21875" customWidth="1"/>
    <col min="16" max="17" width="9.21875" hidden="1" customWidth="1"/>
    <col min="18" max="19" width="9.21875" customWidth="1"/>
    <col min="20" max="20" width="9.21875" hidden="1" customWidth="1"/>
    <col min="21" max="21" width="2.21875" hidden="1" customWidth="1"/>
    <col min="22" max="24" width="21.44140625" style="1" customWidth="1"/>
  </cols>
  <sheetData>
    <row r="1" spans="1:24" ht="15" thickBot="1" x14ac:dyDescent="0.35"/>
    <row r="2" spans="1:24" s="59" customFormat="1" ht="26.4" thickBot="1" x14ac:dyDescent="0.55000000000000004">
      <c r="A2" s="160" t="s">
        <v>63</v>
      </c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161"/>
      <c r="Q2" s="161"/>
      <c r="R2" s="161"/>
      <c r="S2" s="162"/>
      <c r="T2" s="58"/>
      <c r="U2" s="58"/>
      <c r="V2" s="56"/>
      <c r="W2" s="56"/>
      <c r="X2" s="56"/>
    </row>
    <row r="3" spans="1:24" s="2" customFormat="1" ht="15" thickBot="1" x14ac:dyDescent="0.35">
      <c r="A3" s="163" t="s">
        <v>14</v>
      </c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5"/>
      <c r="T3" s="57"/>
      <c r="U3" s="57"/>
      <c r="V3" s="3"/>
      <c r="W3" s="3"/>
      <c r="X3" s="3"/>
    </row>
    <row r="4" spans="1:24" s="63" customFormat="1" thickBot="1" x14ac:dyDescent="0.35">
      <c r="A4" s="60"/>
      <c r="B4" s="61"/>
      <c r="C4" s="61"/>
      <c r="D4" s="166" t="s">
        <v>1</v>
      </c>
      <c r="E4" s="167"/>
      <c r="F4" s="167"/>
      <c r="G4" s="168"/>
      <c r="H4" s="167"/>
      <c r="I4" s="168"/>
      <c r="J4" s="166" t="s">
        <v>33</v>
      </c>
      <c r="K4" s="167"/>
      <c r="L4" s="167"/>
      <c r="M4" s="168"/>
      <c r="N4" s="166" t="s">
        <v>27</v>
      </c>
      <c r="O4" s="167"/>
      <c r="P4" s="167"/>
      <c r="Q4" s="168"/>
      <c r="R4" s="166" t="s">
        <v>44</v>
      </c>
      <c r="S4" s="167"/>
      <c r="T4" s="167"/>
      <c r="U4" s="168"/>
      <c r="V4" s="62"/>
      <c r="W4" s="62"/>
      <c r="X4" s="62"/>
    </row>
    <row r="5" spans="1:24" s="63" customFormat="1" thickBot="1" x14ac:dyDescent="0.35">
      <c r="A5" s="169" t="s">
        <v>18</v>
      </c>
      <c r="B5" s="169" t="s">
        <v>0</v>
      </c>
      <c r="C5" s="171" t="s">
        <v>21</v>
      </c>
      <c r="D5" s="104" t="s">
        <v>19</v>
      </c>
      <c r="E5" s="105"/>
      <c r="F5" s="102" t="s">
        <v>20</v>
      </c>
      <c r="G5" s="103"/>
      <c r="H5" s="102" t="s">
        <v>20</v>
      </c>
      <c r="I5" s="103"/>
      <c r="J5" s="104" t="s">
        <v>19</v>
      </c>
      <c r="K5" s="105"/>
      <c r="L5" s="102" t="s">
        <v>20</v>
      </c>
      <c r="M5" s="103"/>
      <c r="N5" s="104" t="s">
        <v>19</v>
      </c>
      <c r="O5" s="105"/>
      <c r="P5" s="102" t="s">
        <v>20</v>
      </c>
      <c r="Q5" s="103"/>
      <c r="R5" s="104" t="s">
        <v>19</v>
      </c>
      <c r="S5" s="105"/>
      <c r="T5" s="106" t="s">
        <v>20</v>
      </c>
      <c r="U5" s="107"/>
      <c r="V5" s="108"/>
      <c r="W5" s="108"/>
      <c r="X5" s="108"/>
    </row>
    <row r="6" spans="1:24" s="66" customFormat="1" thickBot="1" x14ac:dyDescent="0.35">
      <c r="A6" s="170"/>
      <c r="B6" s="170"/>
      <c r="C6" s="172"/>
      <c r="D6" s="64" t="s">
        <v>2</v>
      </c>
      <c r="E6" s="65" t="s">
        <v>3</v>
      </c>
      <c r="F6" s="64" t="s">
        <v>2</v>
      </c>
      <c r="G6" s="65" t="s">
        <v>3</v>
      </c>
      <c r="H6" s="64" t="s">
        <v>2</v>
      </c>
      <c r="I6" s="65" t="s">
        <v>3</v>
      </c>
      <c r="J6" s="64" t="s">
        <v>2</v>
      </c>
      <c r="K6" s="65" t="s">
        <v>3</v>
      </c>
      <c r="L6" s="64" t="s">
        <v>2</v>
      </c>
      <c r="M6" s="65" t="s">
        <v>3</v>
      </c>
      <c r="N6" s="64" t="s">
        <v>2</v>
      </c>
      <c r="O6" s="65" t="s">
        <v>3</v>
      </c>
      <c r="P6" s="64" t="s">
        <v>2</v>
      </c>
      <c r="Q6" s="65" t="s">
        <v>3</v>
      </c>
      <c r="R6" s="64" t="s">
        <v>2</v>
      </c>
      <c r="S6" s="65" t="s">
        <v>3</v>
      </c>
      <c r="T6" s="64" t="s">
        <v>2</v>
      </c>
      <c r="U6" s="65" t="s">
        <v>3</v>
      </c>
      <c r="V6" s="62"/>
      <c r="W6" s="62"/>
      <c r="X6" s="62"/>
    </row>
    <row r="7" spans="1:24" s="2" customFormat="1" ht="35.25" customHeight="1" thickBot="1" x14ac:dyDescent="0.35">
      <c r="A7" s="24">
        <v>1</v>
      </c>
      <c r="B7" s="53" t="s">
        <v>37</v>
      </c>
      <c r="C7" s="52"/>
      <c r="D7" s="21"/>
      <c r="E7" s="22"/>
      <c r="F7" s="21"/>
      <c r="G7" s="22"/>
      <c r="H7" s="21"/>
      <c r="I7" s="23"/>
      <c r="J7" s="21">
        <v>2</v>
      </c>
      <c r="K7" s="23">
        <v>0.5</v>
      </c>
      <c r="L7" s="21"/>
      <c r="M7" s="23"/>
      <c r="N7" s="21">
        <v>2</v>
      </c>
      <c r="O7" s="23">
        <v>1</v>
      </c>
      <c r="P7" s="21"/>
      <c r="Q7" s="23"/>
      <c r="R7" s="21">
        <v>2</v>
      </c>
      <c r="S7" s="23">
        <v>3</v>
      </c>
      <c r="T7" s="5"/>
      <c r="U7" s="6"/>
      <c r="V7" s="3"/>
      <c r="W7" s="7"/>
      <c r="X7" s="7"/>
    </row>
    <row r="8" spans="1:24" s="2" customFormat="1" ht="16.2" thickBot="1" x14ac:dyDescent="0.35">
      <c r="A8" s="24">
        <v>2</v>
      </c>
      <c r="B8" s="53" t="s">
        <v>38</v>
      </c>
      <c r="C8" s="52"/>
      <c r="D8" s="21"/>
      <c r="E8" s="22"/>
      <c r="F8" s="21"/>
      <c r="G8" s="22"/>
      <c r="H8" s="21"/>
      <c r="I8" s="23"/>
      <c r="J8" s="21">
        <v>2</v>
      </c>
      <c r="K8" s="23">
        <v>0.5</v>
      </c>
      <c r="L8" s="21"/>
      <c r="M8" s="23"/>
      <c r="N8" s="21">
        <v>4</v>
      </c>
      <c r="O8" s="23">
        <v>4</v>
      </c>
      <c r="P8" s="21"/>
      <c r="Q8" s="23"/>
      <c r="R8" s="21">
        <v>4</v>
      </c>
      <c r="S8" s="23">
        <v>4</v>
      </c>
      <c r="T8" s="5"/>
      <c r="U8" s="6"/>
      <c r="V8" s="3"/>
      <c r="W8" s="7"/>
      <c r="X8" s="7"/>
    </row>
    <row r="9" spans="1:24" s="2" customFormat="1" ht="16.2" thickBot="1" x14ac:dyDescent="0.35">
      <c r="A9" s="24">
        <v>3</v>
      </c>
      <c r="B9" s="54" t="s">
        <v>42</v>
      </c>
      <c r="C9" s="52"/>
      <c r="D9" s="21"/>
      <c r="E9" s="22"/>
      <c r="F9" s="21"/>
      <c r="G9" s="22"/>
      <c r="H9" s="21"/>
      <c r="I9" s="23"/>
      <c r="J9" s="21"/>
      <c r="K9" s="23"/>
      <c r="L9" s="21"/>
      <c r="M9" s="23"/>
      <c r="N9" s="21">
        <v>4</v>
      </c>
      <c r="O9" s="23"/>
      <c r="P9" s="21"/>
      <c r="Q9" s="23"/>
      <c r="R9" s="21">
        <v>4</v>
      </c>
      <c r="S9" s="23"/>
      <c r="T9" s="5"/>
      <c r="U9" s="6"/>
      <c r="V9" s="3"/>
      <c r="W9" s="7"/>
      <c r="X9" s="7"/>
    </row>
    <row r="10" spans="1:24" s="2" customFormat="1" ht="16.2" thickBot="1" x14ac:dyDescent="0.35">
      <c r="A10" s="24">
        <v>4</v>
      </c>
      <c r="B10" s="54" t="s">
        <v>39</v>
      </c>
      <c r="C10" s="52"/>
      <c r="D10" s="21"/>
      <c r="E10" s="22"/>
      <c r="F10" s="21"/>
      <c r="G10" s="22"/>
      <c r="H10" s="21"/>
      <c r="I10" s="23"/>
      <c r="J10" s="21">
        <v>4</v>
      </c>
      <c r="K10" s="23"/>
      <c r="L10" s="21"/>
      <c r="M10" s="23"/>
      <c r="N10" s="21">
        <v>4</v>
      </c>
      <c r="O10" s="23"/>
      <c r="P10" s="21"/>
      <c r="Q10" s="23"/>
      <c r="R10" s="21">
        <v>4</v>
      </c>
      <c r="S10" s="23"/>
      <c r="T10" s="5"/>
      <c r="U10" s="6"/>
      <c r="V10" s="51"/>
      <c r="W10" s="7"/>
      <c r="X10" s="7"/>
    </row>
    <row r="11" spans="1:24" s="2" customFormat="1" ht="16.2" thickBot="1" x14ac:dyDescent="0.35">
      <c r="A11" s="24">
        <v>5</v>
      </c>
      <c r="B11" s="55" t="s">
        <v>40</v>
      </c>
      <c r="C11" s="52"/>
      <c r="D11" s="21"/>
      <c r="E11" s="22"/>
      <c r="F11" s="21"/>
      <c r="G11" s="22"/>
      <c r="H11" s="21"/>
      <c r="I11" s="23"/>
      <c r="J11" s="21"/>
      <c r="K11" s="23"/>
      <c r="L11" s="21"/>
      <c r="M11" s="23"/>
      <c r="N11" s="21"/>
      <c r="O11" s="23"/>
      <c r="P11" s="21"/>
      <c r="Q11" s="23"/>
      <c r="R11" s="21"/>
      <c r="S11" s="23">
        <v>1</v>
      </c>
      <c r="T11" s="5"/>
      <c r="U11" s="6"/>
      <c r="V11" s="51"/>
      <c r="W11" s="7"/>
      <c r="X11" s="7"/>
    </row>
    <row r="12" spans="1:24" s="2" customFormat="1" ht="31.8" thickBot="1" x14ac:dyDescent="0.35">
      <c r="A12" s="24">
        <v>6</v>
      </c>
      <c r="B12" s="55" t="s">
        <v>62</v>
      </c>
      <c r="C12" s="52"/>
      <c r="D12" s="21"/>
      <c r="E12" s="22">
        <v>2</v>
      </c>
      <c r="F12" s="21"/>
      <c r="G12" s="22"/>
      <c r="H12" s="21"/>
      <c r="I12" s="23"/>
      <c r="J12" s="21"/>
      <c r="K12" s="23">
        <v>3</v>
      </c>
      <c r="L12" s="21"/>
      <c r="M12" s="23"/>
      <c r="N12" s="21"/>
      <c r="O12" s="23">
        <v>3</v>
      </c>
      <c r="P12" s="21"/>
      <c r="Q12" s="23"/>
      <c r="R12" s="21"/>
      <c r="S12" s="23">
        <v>8</v>
      </c>
      <c r="T12" s="5"/>
      <c r="U12" s="6"/>
      <c r="V12" s="51"/>
      <c r="W12" s="7"/>
      <c r="X12" s="7"/>
    </row>
    <row r="13" spans="1:24" s="2" customFormat="1" ht="16.2" thickBot="1" x14ac:dyDescent="0.35">
      <c r="A13" s="24">
        <v>7</v>
      </c>
      <c r="B13" s="54" t="s">
        <v>43</v>
      </c>
      <c r="C13" s="52"/>
      <c r="D13" s="21"/>
      <c r="E13" s="22"/>
      <c r="F13" s="21"/>
      <c r="G13" s="22"/>
      <c r="H13" s="21"/>
      <c r="I13" s="23"/>
      <c r="J13" s="21"/>
      <c r="K13" s="23">
        <v>0.25</v>
      </c>
      <c r="L13" s="21"/>
      <c r="M13" s="23"/>
      <c r="N13" s="21"/>
      <c r="O13" s="23">
        <v>1</v>
      </c>
      <c r="P13" s="21"/>
      <c r="Q13" s="23"/>
      <c r="R13" s="21">
        <v>1</v>
      </c>
      <c r="S13" s="23"/>
      <c r="T13" s="5"/>
      <c r="U13" s="6"/>
      <c r="V13" s="51"/>
      <c r="W13" s="7"/>
      <c r="X13" s="7"/>
    </row>
    <row r="14" spans="1:24" s="2" customFormat="1" ht="16.2" thickBot="1" x14ac:dyDescent="0.35">
      <c r="A14" s="24">
        <v>8</v>
      </c>
      <c r="B14" s="54" t="s">
        <v>45</v>
      </c>
      <c r="C14" s="52"/>
      <c r="D14" s="21"/>
      <c r="E14" s="22">
        <v>0.5</v>
      </c>
      <c r="F14" s="21"/>
      <c r="G14" s="22"/>
      <c r="H14" s="21"/>
      <c r="I14" s="23"/>
      <c r="J14" s="21">
        <v>1.5</v>
      </c>
      <c r="K14" s="23">
        <v>0.5</v>
      </c>
      <c r="L14" s="21"/>
      <c r="M14" s="23"/>
      <c r="N14" s="21"/>
      <c r="O14" s="23">
        <v>0.5</v>
      </c>
      <c r="P14" s="21"/>
      <c r="Q14" s="23"/>
      <c r="R14" s="21">
        <v>1.5</v>
      </c>
      <c r="S14" s="23">
        <v>1.5</v>
      </c>
      <c r="T14" s="5"/>
      <c r="U14" s="6"/>
      <c r="V14" s="51"/>
      <c r="W14" s="7"/>
      <c r="X14" s="7"/>
    </row>
    <row r="15" spans="1:24" s="2" customFormat="1" ht="16.2" thickBot="1" x14ac:dyDescent="0.35">
      <c r="A15" s="24">
        <v>9</v>
      </c>
      <c r="B15" s="54" t="s">
        <v>41</v>
      </c>
      <c r="C15" s="52"/>
      <c r="D15" s="21">
        <v>3</v>
      </c>
      <c r="E15" s="22"/>
      <c r="F15" s="21"/>
      <c r="G15" s="22"/>
      <c r="H15" s="21"/>
      <c r="I15" s="23"/>
      <c r="J15" s="21">
        <v>12</v>
      </c>
      <c r="K15" s="23">
        <v>1</v>
      </c>
      <c r="L15" s="21"/>
      <c r="M15" s="23"/>
      <c r="N15" s="21">
        <v>3</v>
      </c>
      <c r="O15" s="23">
        <v>2</v>
      </c>
      <c r="P15" s="21"/>
      <c r="Q15" s="23"/>
      <c r="R15" s="21">
        <v>8</v>
      </c>
      <c r="S15" s="23"/>
      <c r="T15" s="5"/>
      <c r="U15" s="6"/>
      <c r="V15" s="51"/>
      <c r="W15" s="7"/>
      <c r="X15" s="7"/>
    </row>
    <row r="16" spans="1:24" s="2" customFormat="1" ht="31.8" thickBot="1" x14ac:dyDescent="0.35">
      <c r="A16" s="24">
        <v>10</v>
      </c>
      <c r="B16" s="54" t="s">
        <v>46</v>
      </c>
      <c r="C16" s="52"/>
      <c r="D16" s="21"/>
      <c r="E16" s="22"/>
      <c r="F16" s="21"/>
      <c r="G16" s="22"/>
      <c r="H16" s="21"/>
      <c r="I16" s="23"/>
      <c r="J16" s="21">
        <v>1</v>
      </c>
      <c r="K16" s="23">
        <v>0.5</v>
      </c>
      <c r="L16" s="21"/>
      <c r="M16" s="23"/>
      <c r="N16" s="21">
        <v>3</v>
      </c>
      <c r="O16" s="23">
        <v>0.5</v>
      </c>
      <c r="P16" s="21"/>
      <c r="Q16" s="23"/>
      <c r="R16" s="21">
        <v>1</v>
      </c>
      <c r="S16" s="23">
        <v>0.5</v>
      </c>
      <c r="T16" s="5"/>
      <c r="U16" s="6"/>
      <c r="V16" s="51"/>
      <c r="W16" s="7"/>
      <c r="X16" s="7"/>
    </row>
    <row r="17" spans="1:24" s="2" customFormat="1" ht="39.75" customHeight="1" thickBot="1" x14ac:dyDescent="0.35">
      <c r="A17" s="24">
        <v>11</v>
      </c>
      <c r="B17" s="54" t="s">
        <v>47</v>
      </c>
      <c r="C17" s="52"/>
      <c r="D17" s="21"/>
      <c r="E17" s="22"/>
      <c r="F17" s="21"/>
      <c r="G17" s="22"/>
      <c r="H17" s="21"/>
      <c r="I17" s="23"/>
      <c r="J17" s="21">
        <v>0.5</v>
      </c>
      <c r="K17" s="23">
        <v>0.5</v>
      </c>
      <c r="L17" s="21"/>
      <c r="M17" s="23"/>
      <c r="N17" s="21">
        <v>0.5</v>
      </c>
      <c r="O17" s="23">
        <v>1.5</v>
      </c>
      <c r="P17" s="21"/>
      <c r="Q17" s="23"/>
      <c r="R17" s="21">
        <v>0.5</v>
      </c>
      <c r="S17" s="23">
        <v>3</v>
      </c>
      <c r="T17" s="5"/>
      <c r="U17" s="6"/>
      <c r="V17" s="51"/>
      <c r="W17" s="7"/>
      <c r="X17" s="7"/>
    </row>
    <row r="18" spans="1:24" s="2" customFormat="1" ht="30.75" customHeight="1" thickBot="1" x14ac:dyDescent="0.35">
      <c r="A18" s="24">
        <v>12</v>
      </c>
      <c r="B18" s="54" t="s">
        <v>48</v>
      </c>
      <c r="C18" s="52"/>
      <c r="D18" s="21"/>
      <c r="E18" s="22"/>
      <c r="F18" s="21"/>
      <c r="G18" s="22"/>
      <c r="H18" s="21"/>
      <c r="I18" s="23"/>
      <c r="J18" s="21"/>
      <c r="K18" s="23"/>
      <c r="L18" s="21"/>
      <c r="M18" s="23"/>
      <c r="N18" s="21">
        <v>1</v>
      </c>
      <c r="O18" s="23"/>
      <c r="P18" s="21"/>
      <c r="Q18" s="23"/>
      <c r="R18" s="21"/>
      <c r="S18" s="23"/>
      <c r="T18" s="5"/>
      <c r="U18" s="6"/>
      <c r="V18" s="51"/>
      <c r="W18" s="7"/>
      <c r="X18" s="7"/>
    </row>
    <row r="19" spans="1:24" s="2" customFormat="1" ht="39.75" customHeight="1" thickBot="1" x14ac:dyDescent="0.35">
      <c r="A19" s="24">
        <v>13</v>
      </c>
      <c r="B19" s="54" t="s">
        <v>49</v>
      </c>
      <c r="C19" s="52"/>
      <c r="D19" s="21"/>
      <c r="E19" s="22"/>
      <c r="F19" s="21"/>
      <c r="G19" s="22"/>
      <c r="H19" s="21"/>
      <c r="I19" s="23"/>
      <c r="J19" s="21"/>
      <c r="K19" s="23">
        <v>0.5</v>
      </c>
      <c r="L19" s="21"/>
      <c r="M19" s="23"/>
      <c r="N19" s="21"/>
      <c r="O19" s="23">
        <v>0.5</v>
      </c>
      <c r="P19" s="21"/>
      <c r="Q19" s="23"/>
      <c r="R19" s="21"/>
      <c r="S19" s="23">
        <v>3.5</v>
      </c>
      <c r="T19" s="5"/>
      <c r="U19" s="6"/>
      <c r="V19" s="51"/>
      <c r="W19" s="7"/>
      <c r="X19" s="7"/>
    </row>
    <row r="20" spans="1:24" s="2" customFormat="1" ht="39.75" customHeight="1" thickBot="1" x14ac:dyDescent="0.35">
      <c r="A20" s="24">
        <v>14</v>
      </c>
      <c r="B20" s="54" t="s">
        <v>50</v>
      </c>
      <c r="C20" s="52"/>
      <c r="D20" s="21"/>
      <c r="E20" s="22"/>
      <c r="F20" s="21"/>
      <c r="G20" s="22"/>
      <c r="H20" s="21"/>
      <c r="I20" s="23"/>
      <c r="J20" s="21"/>
      <c r="K20" s="23"/>
      <c r="L20" s="21"/>
      <c r="M20" s="23"/>
      <c r="N20" s="21">
        <v>0.5</v>
      </c>
      <c r="O20" s="23"/>
      <c r="P20" s="21"/>
      <c r="Q20" s="23"/>
      <c r="R20" s="21"/>
      <c r="S20" s="23"/>
      <c r="T20" s="5"/>
      <c r="U20" s="6"/>
      <c r="V20" s="51"/>
      <c r="W20" s="7"/>
      <c r="X20" s="7"/>
    </row>
    <row r="21" spans="1:24" s="2" customFormat="1" ht="39.75" customHeight="1" thickBot="1" x14ac:dyDescent="0.35">
      <c r="A21" s="24">
        <v>15</v>
      </c>
      <c r="B21" s="54" t="s">
        <v>51</v>
      </c>
      <c r="C21" s="52"/>
      <c r="D21" s="21"/>
      <c r="E21" s="22"/>
      <c r="F21" s="21"/>
      <c r="G21" s="22"/>
      <c r="H21" s="21"/>
      <c r="I21" s="23"/>
      <c r="J21" s="21">
        <v>2</v>
      </c>
      <c r="K21" s="23">
        <v>0.25</v>
      </c>
      <c r="L21" s="21"/>
      <c r="M21" s="23"/>
      <c r="N21" s="21">
        <v>2</v>
      </c>
      <c r="O21" s="23">
        <v>0.5</v>
      </c>
      <c r="P21" s="21"/>
      <c r="Q21" s="23"/>
      <c r="R21" s="21">
        <v>4</v>
      </c>
      <c r="S21" s="23">
        <v>1.5</v>
      </c>
      <c r="T21" s="5"/>
      <c r="U21" s="6"/>
      <c r="V21" s="51"/>
      <c r="W21" s="7"/>
      <c r="X21" s="7"/>
    </row>
    <row r="22" spans="1:24" s="2" customFormat="1" ht="39.75" customHeight="1" thickBot="1" x14ac:dyDescent="0.35">
      <c r="A22" s="24">
        <v>16</v>
      </c>
      <c r="B22" s="54" t="s">
        <v>52</v>
      </c>
      <c r="C22" s="52"/>
      <c r="D22" s="21"/>
      <c r="E22" s="22"/>
      <c r="F22" s="21"/>
      <c r="G22" s="22"/>
      <c r="H22" s="21"/>
      <c r="I22" s="23"/>
      <c r="J22" s="21"/>
      <c r="K22" s="23">
        <v>0.5</v>
      </c>
      <c r="L22" s="21"/>
      <c r="M22" s="23"/>
      <c r="N22" s="21"/>
      <c r="O22" s="23">
        <v>0.5</v>
      </c>
      <c r="P22" s="21"/>
      <c r="Q22" s="23"/>
      <c r="R22" s="21">
        <v>2</v>
      </c>
      <c r="S22" s="23">
        <v>1</v>
      </c>
      <c r="T22" s="5"/>
      <c r="U22" s="6"/>
      <c r="V22" s="51"/>
      <c r="W22" s="7"/>
      <c r="X22" s="7"/>
    </row>
    <row r="23" spans="1:24" s="2" customFormat="1" ht="39.75" customHeight="1" thickBot="1" x14ac:dyDescent="0.35">
      <c r="A23" s="24">
        <v>17</v>
      </c>
      <c r="B23" s="54" t="s">
        <v>53</v>
      </c>
      <c r="C23" s="52"/>
      <c r="D23" s="21"/>
      <c r="E23" s="22">
        <v>1</v>
      </c>
      <c r="F23" s="21"/>
      <c r="G23" s="22"/>
      <c r="H23" s="21"/>
      <c r="I23" s="23"/>
      <c r="J23" s="21"/>
      <c r="K23" s="23">
        <v>1</v>
      </c>
      <c r="L23" s="21"/>
      <c r="M23" s="23"/>
      <c r="N23" s="21"/>
      <c r="O23" s="23">
        <v>1</v>
      </c>
      <c r="P23" s="21"/>
      <c r="Q23" s="23"/>
      <c r="R23" s="21"/>
      <c r="S23" s="23">
        <v>3</v>
      </c>
      <c r="T23" s="5"/>
      <c r="U23" s="6"/>
      <c r="V23" s="51"/>
      <c r="W23" s="7"/>
      <c r="X23" s="7"/>
    </row>
    <row r="24" spans="1:24" s="2" customFormat="1" ht="39.75" customHeight="1" thickBot="1" x14ac:dyDescent="0.35">
      <c r="A24" s="24">
        <v>18</v>
      </c>
      <c r="B24" s="54" t="s">
        <v>54</v>
      </c>
      <c r="C24" s="52"/>
      <c r="D24" s="21"/>
      <c r="E24" s="22"/>
      <c r="F24" s="21"/>
      <c r="G24" s="22"/>
      <c r="H24" s="21"/>
      <c r="I24" s="23"/>
      <c r="J24" s="21"/>
      <c r="K24" s="23"/>
      <c r="L24" s="21"/>
      <c r="M24" s="23"/>
      <c r="N24" s="21">
        <v>0.5</v>
      </c>
      <c r="O24" s="23"/>
      <c r="P24" s="21"/>
      <c r="Q24" s="23"/>
      <c r="R24" s="21">
        <v>0.5</v>
      </c>
      <c r="S24" s="23"/>
      <c r="T24" s="5"/>
      <c r="U24" s="6"/>
      <c r="V24" s="51"/>
      <c r="W24" s="7"/>
      <c r="X24" s="7"/>
    </row>
    <row r="25" spans="1:24" s="2" customFormat="1" ht="39.75" customHeight="1" thickBot="1" x14ac:dyDescent="0.35">
      <c r="A25" s="24">
        <v>19</v>
      </c>
      <c r="B25" s="54" t="s">
        <v>55</v>
      </c>
      <c r="C25" s="52"/>
      <c r="D25" s="21"/>
      <c r="E25" s="22"/>
      <c r="F25" s="21"/>
      <c r="G25" s="22"/>
      <c r="H25" s="21"/>
      <c r="I25" s="23"/>
      <c r="J25" s="21"/>
      <c r="K25" s="23"/>
      <c r="L25" s="21"/>
      <c r="M25" s="23"/>
      <c r="N25" s="21">
        <v>0.25</v>
      </c>
      <c r="O25" s="23"/>
      <c r="P25" s="21"/>
      <c r="Q25" s="23"/>
      <c r="R25" s="21"/>
      <c r="S25" s="23"/>
      <c r="T25" s="5"/>
      <c r="U25" s="6"/>
      <c r="V25" s="51"/>
      <c r="W25" s="7"/>
      <c r="X25" s="7"/>
    </row>
    <row r="26" spans="1:24" s="2" customFormat="1" ht="39.75" customHeight="1" thickBot="1" x14ac:dyDescent="0.35">
      <c r="A26" s="24">
        <v>20</v>
      </c>
      <c r="B26" s="54" t="s">
        <v>56</v>
      </c>
      <c r="C26" s="52"/>
      <c r="D26" s="21"/>
      <c r="E26" s="22"/>
      <c r="F26" s="21"/>
      <c r="G26" s="22"/>
      <c r="H26" s="21"/>
      <c r="I26" s="23"/>
      <c r="J26" s="21"/>
      <c r="K26" s="23"/>
      <c r="L26" s="21"/>
      <c r="M26" s="23"/>
      <c r="N26" s="21"/>
      <c r="O26" s="23"/>
      <c r="P26" s="21"/>
      <c r="Q26" s="23"/>
      <c r="R26" s="21">
        <v>0.5</v>
      </c>
      <c r="S26" s="23"/>
      <c r="T26" s="5"/>
      <c r="U26" s="6"/>
      <c r="V26" s="51"/>
      <c r="W26" s="7"/>
      <c r="X26" s="7"/>
    </row>
    <row r="27" spans="1:24" s="2" customFormat="1" ht="39.75" customHeight="1" thickBot="1" x14ac:dyDescent="0.35">
      <c r="A27" s="24">
        <v>21</v>
      </c>
      <c r="B27" s="54" t="s">
        <v>58</v>
      </c>
      <c r="C27" s="52"/>
      <c r="D27" s="21"/>
      <c r="E27" s="22"/>
      <c r="F27" s="21"/>
      <c r="G27" s="22"/>
      <c r="H27" s="21"/>
      <c r="I27" s="23"/>
      <c r="J27" s="21"/>
      <c r="K27" s="23"/>
      <c r="L27" s="21"/>
      <c r="M27" s="23"/>
      <c r="N27" s="21"/>
      <c r="O27" s="23"/>
      <c r="P27" s="21"/>
      <c r="Q27" s="23"/>
      <c r="R27" s="21">
        <v>1</v>
      </c>
      <c r="S27" s="23">
        <v>0.5</v>
      </c>
      <c r="T27" s="5"/>
      <c r="U27" s="6"/>
      <c r="V27" s="51"/>
      <c r="W27" s="7"/>
      <c r="X27" s="7"/>
    </row>
    <row r="28" spans="1:24" s="2" customFormat="1" ht="31.8" thickBot="1" x14ac:dyDescent="0.35">
      <c r="A28" s="24">
        <v>22</v>
      </c>
      <c r="B28" s="54" t="s">
        <v>59</v>
      </c>
      <c r="C28" s="52"/>
      <c r="D28" s="21"/>
      <c r="E28" s="22"/>
      <c r="F28" s="21"/>
      <c r="G28" s="22"/>
      <c r="H28" s="21"/>
      <c r="I28" s="23"/>
      <c r="J28" s="21">
        <v>3</v>
      </c>
      <c r="K28" s="23"/>
      <c r="L28" s="21"/>
      <c r="M28" s="23"/>
      <c r="N28" s="21"/>
      <c r="O28" s="23"/>
      <c r="P28" s="21"/>
      <c r="Q28" s="23"/>
      <c r="R28" s="21">
        <v>3</v>
      </c>
      <c r="S28" s="23"/>
      <c r="T28" s="5"/>
      <c r="U28" s="6"/>
      <c r="V28" s="51"/>
      <c r="W28" s="7"/>
      <c r="X28" s="7"/>
    </row>
    <row r="29" spans="1:24" s="2" customFormat="1" ht="31.8" thickBot="1" x14ac:dyDescent="0.35">
      <c r="A29" s="24">
        <v>23</v>
      </c>
      <c r="B29" s="54" t="s">
        <v>60</v>
      </c>
      <c r="C29" s="52"/>
      <c r="D29" s="21"/>
      <c r="E29" s="22"/>
      <c r="F29" s="21"/>
      <c r="G29" s="22"/>
      <c r="H29" s="21"/>
      <c r="I29" s="23"/>
      <c r="J29" s="21"/>
      <c r="K29" s="23">
        <v>0.25</v>
      </c>
      <c r="L29" s="21"/>
      <c r="M29" s="23"/>
      <c r="N29" s="21">
        <v>4</v>
      </c>
      <c r="O29" s="23">
        <v>0.25</v>
      </c>
      <c r="P29" s="21"/>
      <c r="Q29" s="23"/>
      <c r="R29" s="21">
        <v>4</v>
      </c>
      <c r="S29" s="23">
        <v>2</v>
      </c>
      <c r="T29" s="5"/>
      <c r="U29" s="6"/>
      <c r="V29" s="51"/>
      <c r="W29" s="7"/>
      <c r="X29" s="7"/>
    </row>
    <row r="30" spans="1:24" s="2" customFormat="1" ht="16.2" thickBot="1" x14ac:dyDescent="0.35">
      <c r="A30" s="24">
        <v>24</v>
      </c>
      <c r="B30" s="54" t="s">
        <v>61</v>
      </c>
      <c r="C30" s="52"/>
      <c r="D30" s="21"/>
      <c r="E30" s="22"/>
      <c r="F30" s="21"/>
      <c r="G30" s="22"/>
      <c r="H30" s="21"/>
      <c r="I30" s="23"/>
      <c r="J30" s="21"/>
      <c r="K30" s="23"/>
      <c r="L30" s="21"/>
      <c r="M30" s="23"/>
      <c r="N30" s="21">
        <v>1</v>
      </c>
      <c r="O30" s="23"/>
      <c r="P30" s="21"/>
      <c r="Q30" s="23"/>
      <c r="R30" s="21">
        <v>1</v>
      </c>
      <c r="S30" s="23">
        <v>0.5</v>
      </c>
      <c r="T30" s="5"/>
      <c r="U30" s="6"/>
      <c r="V30" s="51"/>
      <c r="W30" s="7"/>
      <c r="X30" s="7"/>
    </row>
    <row r="31" spans="1:24" s="2" customFormat="1" ht="94.2" thickBot="1" x14ac:dyDescent="0.35">
      <c r="A31" s="24">
        <v>25</v>
      </c>
      <c r="B31" s="54" t="s">
        <v>57</v>
      </c>
      <c r="C31" s="52"/>
      <c r="D31" s="21">
        <v>4</v>
      </c>
      <c r="E31" s="22">
        <v>0.5</v>
      </c>
      <c r="F31" s="21"/>
      <c r="G31" s="22"/>
      <c r="H31" s="21"/>
      <c r="I31" s="23"/>
      <c r="J31" s="21">
        <v>4</v>
      </c>
      <c r="K31" s="23">
        <v>1</v>
      </c>
      <c r="L31" s="21"/>
      <c r="M31" s="23"/>
      <c r="N31" s="21">
        <v>4</v>
      </c>
      <c r="O31" s="23">
        <v>1</v>
      </c>
      <c r="P31" s="21"/>
      <c r="Q31" s="23"/>
      <c r="R31" s="21">
        <v>4</v>
      </c>
      <c r="S31" s="23">
        <v>2</v>
      </c>
      <c r="T31" s="5"/>
      <c r="U31" s="6"/>
      <c r="V31" s="51"/>
      <c r="W31" s="7"/>
      <c r="X31" s="7"/>
    </row>
    <row r="32" spans="1:24" s="2" customFormat="1" ht="30" customHeight="1" thickBot="1" x14ac:dyDescent="0.35">
      <c r="A32" s="109" t="s">
        <v>31</v>
      </c>
      <c r="B32" s="110"/>
      <c r="C32" s="25"/>
      <c r="D32" s="26">
        <f>SUM(D7:D31)</f>
        <v>7</v>
      </c>
      <c r="E32" s="26">
        <f t="shared" ref="E32:S32" si="0">SUM(E7:E31)</f>
        <v>4</v>
      </c>
      <c r="F32" s="26">
        <f t="shared" si="0"/>
        <v>0</v>
      </c>
      <c r="G32" s="26">
        <f t="shared" si="0"/>
        <v>0</v>
      </c>
      <c r="H32" s="26">
        <f t="shared" si="0"/>
        <v>0</v>
      </c>
      <c r="I32" s="26">
        <f t="shared" si="0"/>
        <v>0</v>
      </c>
      <c r="J32" s="26">
        <f t="shared" si="0"/>
        <v>32</v>
      </c>
      <c r="K32" s="26">
        <f t="shared" si="0"/>
        <v>10.25</v>
      </c>
      <c r="L32" s="26">
        <f t="shared" si="0"/>
        <v>0</v>
      </c>
      <c r="M32" s="26">
        <f t="shared" si="0"/>
        <v>0</v>
      </c>
      <c r="N32" s="26">
        <f t="shared" si="0"/>
        <v>33.75</v>
      </c>
      <c r="O32" s="26">
        <f t="shared" si="0"/>
        <v>17.25</v>
      </c>
      <c r="P32" s="26">
        <f t="shared" si="0"/>
        <v>0</v>
      </c>
      <c r="Q32" s="26">
        <f t="shared" si="0"/>
        <v>0</v>
      </c>
      <c r="R32" s="26">
        <f t="shared" si="0"/>
        <v>46</v>
      </c>
      <c r="S32" s="26">
        <f t="shared" si="0"/>
        <v>35</v>
      </c>
      <c r="T32" s="8" t="e">
        <f>SUM(#REF!)</f>
        <v>#REF!</v>
      </c>
      <c r="U32" s="8" t="e">
        <f>SUM(#REF!)</f>
        <v>#REF!</v>
      </c>
      <c r="V32" s="3"/>
      <c r="W32" s="7"/>
      <c r="X32" s="7"/>
    </row>
    <row r="33" spans="1:24" s="2" customFormat="1" ht="30" customHeight="1" thickBot="1" x14ac:dyDescent="0.35">
      <c r="A33" s="109" t="s">
        <v>32</v>
      </c>
      <c r="B33" s="110"/>
      <c r="C33" s="25"/>
      <c r="D33" s="27">
        <f>D32/6</f>
        <v>1.1666666666666667</v>
      </c>
      <c r="E33" s="27">
        <f>E32/7.5</f>
        <v>0.53333333333333333</v>
      </c>
      <c r="F33" s="27">
        <f t="shared" ref="F33" si="1">F32/6</f>
        <v>0</v>
      </c>
      <c r="G33" s="27">
        <f t="shared" ref="G33" si="2">G32/7.5</f>
        <v>0</v>
      </c>
      <c r="H33" s="27">
        <f t="shared" ref="H33" si="3">H32/6</f>
        <v>0</v>
      </c>
      <c r="I33" s="27">
        <f t="shared" ref="I33" si="4">I32/7.5</f>
        <v>0</v>
      </c>
      <c r="J33" s="27">
        <f t="shared" ref="J33" si="5">J32/6</f>
        <v>5.333333333333333</v>
      </c>
      <c r="K33" s="27">
        <f t="shared" ref="K33" si="6">K32/7.5</f>
        <v>1.3666666666666667</v>
      </c>
      <c r="L33" s="27">
        <f t="shared" ref="L33" si="7">L32/6</f>
        <v>0</v>
      </c>
      <c r="M33" s="27">
        <f t="shared" ref="M33" si="8">M32/7.5</f>
        <v>0</v>
      </c>
      <c r="N33" s="27">
        <f t="shared" ref="N33" si="9">N32/6</f>
        <v>5.625</v>
      </c>
      <c r="O33" s="27">
        <f t="shared" ref="O33" si="10">O32/7.5</f>
        <v>2.2999999999999998</v>
      </c>
      <c r="P33" s="27">
        <f t="shared" ref="P33" si="11">P32/6</f>
        <v>0</v>
      </c>
      <c r="Q33" s="27">
        <f t="shared" ref="Q33" si="12">Q32/7.5</f>
        <v>0</v>
      </c>
      <c r="R33" s="27">
        <f t="shared" ref="R33" si="13">R32/6</f>
        <v>7.666666666666667</v>
      </c>
      <c r="S33" s="27">
        <f t="shared" ref="S33" si="14">S32/7.5</f>
        <v>4.666666666666667</v>
      </c>
      <c r="T33" s="9" t="e">
        <f t="shared" ref="T33" si="15">T32/6</f>
        <v>#REF!</v>
      </c>
      <c r="U33" s="9" t="e">
        <f t="shared" ref="U33" si="16">U32/7.5</f>
        <v>#REF!</v>
      </c>
      <c r="V33" s="3"/>
      <c r="W33" s="7"/>
      <c r="X33" s="7"/>
    </row>
    <row r="34" spans="1:24" s="2" customFormat="1" ht="30" customHeight="1" thickBot="1" x14ac:dyDescent="0.35">
      <c r="A34" s="111" t="s">
        <v>34</v>
      </c>
      <c r="B34" s="112"/>
      <c r="C34" s="28"/>
      <c r="D34" s="113">
        <f>D33+E33</f>
        <v>1.7000000000000002</v>
      </c>
      <c r="E34" s="114"/>
      <c r="F34" s="115">
        <f t="shared" ref="F34" si="17">F33+G33</f>
        <v>0</v>
      </c>
      <c r="G34" s="114"/>
      <c r="H34" s="115">
        <f t="shared" ref="H34" si="18">H33+I33</f>
        <v>0</v>
      </c>
      <c r="I34" s="114"/>
      <c r="J34" s="113">
        <f t="shared" ref="J34" si="19">J33+K33</f>
        <v>6.6999999999999993</v>
      </c>
      <c r="K34" s="114"/>
      <c r="L34" s="115">
        <f t="shared" ref="L34" si="20">L33+M33</f>
        <v>0</v>
      </c>
      <c r="M34" s="114"/>
      <c r="N34" s="115">
        <f t="shared" ref="N34" si="21">N33+O33</f>
        <v>7.9249999999999998</v>
      </c>
      <c r="O34" s="114"/>
      <c r="P34" s="115">
        <f t="shared" ref="P34" si="22">P33+Q33</f>
        <v>0</v>
      </c>
      <c r="Q34" s="114"/>
      <c r="R34" s="115">
        <f t="shared" ref="R34" si="23">R33+S33</f>
        <v>12.333333333333334</v>
      </c>
      <c r="S34" s="114"/>
      <c r="T34" s="116" t="e">
        <f t="shared" ref="T34" si="24">T33+U33</f>
        <v>#REF!</v>
      </c>
      <c r="U34" s="117"/>
      <c r="V34" s="3"/>
      <c r="W34" s="7"/>
      <c r="X34" s="7"/>
    </row>
    <row r="35" spans="1:24" s="2" customFormat="1" ht="18.600000000000001" thickBot="1" x14ac:dyDescent="0.4">
      <c r="A35" s="118" t="s">
        <v>4</v>
      </c>
      <c r="B35" s="119"/>
      <c r="C35" s="118"/>
      <c r="D35" s="122" t="s">
        <v>1</v>
      </c>
      <c r="E35" s="123"/>
      <c r="F35" s="123"/>
      <c r="G35" s="124"/>
      <c r="H35" s="123"/>
      <c r="I35" s="124"/>
      <c r="J35" s="122" t="s">
        <v>33</v>
      </c>
      <c r="K35" s="123"/>
      <c r="L35" s="123"/>
      <c r="M35" s="124"/>
      <c r="N35" s="122" t="s">
        <v>27</v>
      </c>
      <c r="O35" s="123"/>
      <c r="P35" s="123"/>
      <c r="Q35" s="124"/>
      <c r="R35" s="140"/>
      <c r="S35" s="125"/>
      <c r="T35" s="125"/>
      <c r="U35" s="126"/>
      <c r="V35" s="3"/>
      <c r="W35" s="7"/>
      <c r="X35" s="7"/>
    </row>
    <row r="36" spans="1:24" s="2" customFormat="1" ht="22.2" customHeight="1" thickBot="1" x14ac:dyDescent="0.35">
      <c r="A36" s="120"/>
      <c r="B36" s="121"/>
      <c r="C36" s="120"/>
      <c r="D36" s="11" t="s">
        <v>2</v>
      </c>
      <c r="E36" s="12" t="s">
        <v>3</v>
      </c>
      <c r="F36" s="11" t="s">
        <v>2</v>
      </c>
      <c r="G36" s="12" t="s">
        <v>3</v>
      </c>
      <c r="H36" s="13" t="s">
        <v>2</v>
      </c>
      <c r="I36" s="14" t="s">
        <v>3</v>
      </c>
      <c r="J36" s="4" t="s">
        <v>2</v>
      </c>
      <c r="K36" s="15" t="s">
        <v>3</v>
      </c>
      <c r="L36" s="13" t="s">
        <v>2</v>
      </c>
      <c r="M36" s="14" t="s">
        <v>3</v>
      </c>
      <c r="N36" s="4" t="s">
        <v>2</v>
      </c>
      <c r="O36" s="15" t="s">
        <v>3</v>
      </c>
      <c r="P36" s="13" t="s">
        <v>2</v>
      </c>
      <c r="Q36" s="14" t="s">
        <v>3</v>
      </c>
      <c r="R36" s="13" t="s">
        <v>2</v>
      </c>
      <c r="S36" s="16" t="s">
        <v>3</v>
      </c>
      <c r="T36" s="13" t="s">
        <v>2</v>
      </c>
      <c r="U36" s="14" t="s">
        <v>3</v>
      </c>
      <c r="V36" s="3"/>
      <c r="W36" s="7"/>
      <c r="X36" s="7"/>
    </row>
    <row r="37" spans="1:24" s="38" customFormat="1" ht="39.6" customHeight="1" thickBot="1" x14ac:dyDescent="0.35">
      <c r="A37" s="30">
        <v>1</v>
      </c>
      <c r="B37" s="31" t="s">
        <v>29</v>
      </c>
      <c r="C37" s="32"/>
      <c r="D37" s="33">
        <v>0</v>
      </c>
      <c r="E37" s="34">
        <v>0</v>
      </c>
      <c r="F37" s="33"/>
      <c r="G37" s="34"/>
      <c r="H37" s="33"/>
      <c r="I37" s="35"/>
      <c r="J37" s="33">
        <v>0</v>
      </c>
      <c r="K37" s="35">
        <v>1</v>
      </c>
      <c r="L37" s="33"/>
      <c r="M37" s="35"/>
      <c r="N37" s="33">
        <v>0</v>
      </c>
      <c r="O37" s="35">
        <v>3</v>
      </c>
      <c r="P37" s="33"/>
      <c r="Q37" s="35"/>
      <c r="R37" s="33">
        <v>0</v>
      </c>
      <c r="S37" s="35">
        <v>2</v>
      </c>
      <c r="T37" s="33"/>
      <c r="U37" s="35"/>
      <c r="V37" s="36"/>
      <c r="W37" s="37"/>
      <c r="X37" s="37"/>
    </row>
    <row r="38" spans="1:24" s="38" customFormat="1" ht="30" customHeight="1" thickBot="1" x14ac:dyDescent="0.35">
      <c r="A38" s="39">
        <v>2</v>
      </c>
      <c r="B38" s="31" t="s">
        <v>28</v>
      </c>
      <c r="C38" s="32"/>
      <c r="D38" s="33">
        <v>0</v>
      </c>
      <c r="E38" s="34">
        <v>0</v>
      </c>
      <c r="F38" s="33"/>
      <c r="G38" s="34"/>
      <c r="H38" s="33"/>
      <c r="I38" s="35"/>
      <c r="J38" s="33">
        <v>0</v>
      </c>
      <c r="K38" s="35">
        <v>0</v>
      </c>
      <c r="L38" s="33"/>
      <c r="M38" s="35"/>
      <c r="N38" s="33">
        <v>0</v>
      </c>
      <c r="O38" s="35"/>
      <c r="P38" s="33"/>
      <c r="Q38" s="35"/>
      <c r="R38" s="33">
        <v>0</v>
      </c>
      <c r="S38" s="35">
        <v>3</v>
      </c>
      <c r="T38" s="33"/>
      <c r="U38" s="35"/>
      <c r="V38" s="36"/>
      <c r="W38" s="37"/>
      <c r="X38" s="37"/>
    </row>
    <row r="39" spans="1:24" s="38" customFormat="1" ht="30" customHeight="1" thickBot="1" x14ac:dyDescent="0.35">
      <c r="A39" s="39">
        <v>3</v>
      </c>
      <c r="B39" s="31" t="s">
        <v>5</v>
      </c>
      <c r="C39" s="32"/>
      <c r="D39" s="33">
        <v>0</v>
      </c>
      <c r="E39" s="34">
        <v>0</v>
      </c>
      <c r="F39" s="33"/>
      <c r="G39" s="34"/>
      <c r="H39" s="33"/>
      <c r="I39" s="35"/>
      <c r="J39" s="33">
        <v>0</v>
      </c>
      <c r="K39" s="35">
        <v>0.5</v>
      </c>
      <c r="L39" s="33"/>
      <c r="M39" s="35"/>
      <c r="N39" s="33">
        <v>0</v>
      </c>
      <c r="O39" s="35">
        <v>0.5</v>
      </c>
      <c r="P39" s="33"/>
      <c r="Q39" s="35"/>
      <c r="R39" s="33">
        <v>0</v>
      </c>
      <c r="S39" s="35">
        <v>1.5</v>
      </c>
      <c r="T39" s="33"/>
      <c r="U39" s="35"/>
      <c r="V39" s="36"/>
      <c r="W39" s="37"/>
      <c r="X39" s="37"/>
    </row>
    <row r="40" spans="1:24" s="38" customFormat="1" ht="30" customHeight="1" thickBot="1" x14ac:dyDescent="0.35">
      <c r="A40" s="40">
        <v>4</v>
      </c>
      <c r="B40" s="31" t="s">
        <v>6</v>
      </c>
      <c r="C40" s="32"/>
      <c r="D40" s="33">
        <v>0</v>
      </c>
      <c r="E40" s="34">
        <v>0</v>
      </c>
      <c r="F40" s="33"/>
      <c r="G40" s="34"/>
      <c r="H40" s="33"/>
      <c r="I40" s="35"/>
      <c r="J40" s="33">
        <v>0</v>
      </c>
      <c r="K40" s="35">
        <v>0.5</v>
      </c>
      <c r="L40" s="33"/>
      <c r="M40" s="35"/>
      <c r="N40" s="33">
        <v>0</v>
      </c>
      <c r="O40" s="35">
        <v>0.5</v>
      </c>
      <c r="P40" s="33"/>
      <c r="Q40" s="35"/>
      <c r="R40" s="33">
        <v>0</v>
      </c>
      <c r="S40" s="35">
        <v>0.5</v>
      </c>
      <c r="T40" s="33"/>
      <c r="U40" s="35"/>
      <c r="V40" s="36"/>
      <c r="W40" s="37"/>
      <c r="X40" s="37"/>
    </row>
    <row r="41" spans="1:24" s="38" customFormat="1" ht="30" customHeight="1" thickBot="1" x14ac:dyDescent="0.35">
      <c r="A41" s="39">
        <v>5</v>
      </c>
      <c r="B41" s="31" t="s">
        <v>22</v>
      </c>
      <c r="C41" s="32"/>
      <c r="D41" s="33">
        <v>0</v>
      </c>
      <c r="E41" s="34">
        <v>0</v>
      </c>
      <c r="F41" s="33"/>
      <c r="G41" s="34"/>
      <c r="H41" s="33"/>
      <c r="I41" s="35"/>
      <c r="J41" s="33">
        <v>0</v>
      </c>
      <c r="K41" s="35">
        <v>1</v>
      </c>
      <c r="L41" s="33"/>
      <c r="M41" s="35"/>
      <c r="N41" s="33">
        <v>0</v>
      </c>
      <c r="O41" s="35"/>
      <c r="P41" s="33"/>
      <c r="Q41" s="35"/>
      <c r="R41" s="33">
        <v>0</v>
      </c>
      <c r="S41" s="35">
        <v>1</v>
      </c>
      <c r="T41" s="33"/>
      <c r="U41" s="35"/>
      <c r="V41" s="36"/>
      <c r="W41" s="37"/>
      <c r="X41" s="37"/>
    </row>
    <row r="42" spans="1:24" s="38" customFormat="1" ht="36" customHeight="1" thickBot="1" x14ac:dyDescent="0.35">
      <c r="A42" s="40">
        <v>6</v>
      </c>
      <c r="B42" s="31" t="s">
        <v>30</v>
      </c>
      <c r="C42" s="32"/>
      <c r="D42" s="33">
        <v>0</v>
      </c>
      <c r="E42" s="34">
        <v>0</v>
      </c>
      <c r="F42" s="33"/>
      <c r="G42" s="34"/>
      <c r="H42" s="33"/>
      <c r="I42" s="35"/>
      <c r="J42" s="33">
        <v>0</v>
      </c>
      <c r="K42" s="35">
        <v>0</v>
      </c>
      <c r="L42" s="33"/>
      <c r="M42" s="35"/>
      <c r="N42" s="33">
        <v>0</v>
      </c>
      <c r="O42" s="35">
        <v>0</v>
      </c>
      <c r="P42" s="33"/>
      <c r="Q42" s="35"/>
      <c r="R42" s="33">
        <v>0</v>
      </c>
      <c r="S42" s="35">
        <v>0</v>
      </c>
      <c r="T42" s="33"/>
      <c r="U42" s="35"/>
      <c r="V42" s="36"/>
      <c r="W42" s="37"/>
      <c r="X42" s="37"/>
    </row>
    <row r="43" spans="1:24" s="38" customFormat="1" ht="30" customHeight="1" thickBot="1" x14ac:dyDescent="0.35">
      <c r="A43" s="39">
        <v>7</v>
      </c>
      <c r="B43" s="31" t="s">
        <v>23</v>
      </c>
      <c r="C43" s="32"/>
      <c r="D43" s="33">
        <v>0</v>
      </c>
      <c r="E43" s="34">
        <v>0</v>
      </c>
      <c r="F43" s="33"/>
      <c r="G43" s="34"/>
      <c r="H43" s="33"/>
      <c r="I43" s="35"/>
      <c r="J43" s="33">
        <v>0</v>
      </c>
      <c r="K43" s="35">
        <v>1</v>
      </c>
      <c r="L43" s="33"/>
      <c r="M43" s="35"/>
      <c r="N43" s="33">
        <v>0</v>
      </c>
      <c r="O43" s="35"/>
      <c r="P43" s="33"/>
      <c r="Q43" s="35"/>
      <c r="R43" s="33">
        <v>0</v>
      </c>
      <c r="S43" s="35">
        <v>4</v>
      </c>
      <c r="T43" s="33"/>
      <c r="U43" s="35"/>
      <c r="V43" s="36"/>
      <c r="W43" s="37"/>
      <c r="X43" s="37"/>
    </row>
    <row r="44" spans="1:24" s="38" customFormat="1" ht="30" customHeight="1" thickBot="1" x14ac:dyDescent="0.35">
      <c r="A44" s="40">
        <v>8</v>
      </c>
      <c r="B44" s="31" t="s">
        <v>26</v>
      </c>
      <c r="C44" s="32"/>
      <c r="D44" s="33">
        <v>0</v>
      </c>
      <c r="E44" s="34">
        <v>0</v>
      </c>
      <c r="F44" s="33"/>
      <c r="G44" s="34"/>
      <c r="H44" s="33"/>
      <c r="I44" s="35"/>
      <c r="J44" s="33">
        <v>0</v>
      </c>
      <c r="K44" s="35">
        <v>0</v>
      </c>
      <c r="L44" s="33"/>
      <c r="M44" s="35"/>
      <c r="N44" s="33">
        <v>0</v>
      </c>
      <c r="O44" s="35">
        <v>0.5</v>
      </c>
      <c r="P44" s="33"/>
      <c r="Q44" s="35"/>
      <c r="R44" s="33">
        <v>0</v>
      </c>
      <c r="S44" s="35">
        <v>0.5</v>
      </c>
      <c r="T44" s="33"/>
      <c r="U44" s="35"/>
      <c r="V44" s="36"/>
      <c r="W44" s="37"/>
      <c r="X44" s="37"/>
    </row>
    <row r="45" spans="1:24" s="38" customFormat="1" ht="36" customHeight="1" thickBot="1" x14ac:dyDescent="0.35">
      <c r="A45" s="39">
        <v>9</v>
      </c>
      <c r="B45" s="31" t="s">
        <v>24</v>
      </c>
      <c r="C45" s="32"/>
      <c r="D45" s="33">
        <v>0</v>
      </c>
      <c r="E45" s="34">
        <v>0</v>
      </c>
      <c r="F45" s="33"/>
      <c r="G45" s="34"/>
      <c r="H45" s="33"/>
      <c r="I45" s="35"/>
      <c r="J45" s="33">
        <v>0</v>
      </c>
      <c r="K45" s="35">
        <v>0</v>
      </c>
      <c r="L45" s="33"/>
      <c r="M45" s="35"/>
      <c r="N45" s="33">
        <v>0</v>
      </c>
      <c r="O45" s="35">
        <v>0.5</v>
      </c>
      <c r="P45" s="33"/>
      <c r="Q45" s="35"/>
      <c r="R45" s="33">
        <v>0</v>
      </c>
      <c r="S45" s="35">
        <v>0.5</v>
      </c>
      <c r="T45" s="33"/>
      <c r="U45" s="35"/>
      <c r="V45" s="36"/>
      <c r="W45" s="37"/>
      <c r="X45" s="37"/>
    </row>
    <row r="46" spans="1:24" s="38" customFormat="1" ht="30" customHeight="1" thickBot="1" x14ac:dyDescent="0.35">
      <c r="A46" s="40">
        <v>10</v>
      </c>
      <c r="B46" s="31" t="s">
        <v>7</v>
      </c>
      <c r="C46" s="32"/>
      <c r="D46" s="33">
        <v>0</v>
      </c>
      <c r="E46" s="34">
        <v>0</v>
      </c>
      <c r="F46" s="33"/>
      <c r="G46" s="34"/>
      <c r="H46" s="33"/>
      <c r="I46" s="35"/>
      <c r="J46" s="33">
        <v>0</v>
      </c>
      <c r="K46" s="35">
        <v>0</v>
      </c>
      <c r="L46" s="33"/>
      <c r="M46" s="35"/>
      <c r="N46" s="33">
        <v>0</v>
      </c>
      <c r="O46" s="35">
        <v>0</v>
      </c>
      <c r="P46" s="33"/>
      <c r="Q46" s="35"/>
      <c r="R46" s="33">
        <v>0</v>
      </c>
      <c r="S46" s="35">
        <v>0</v>
      </c>
      <c r="T46" s="33"/>
      <c r="U46" s="35"/>
      <c r="V46" s="36"/>
      <c r="W46" s="36"/>
      <c r="X46" s="36"/>
    </row>
    <row r="47" spans="1:24" s="49" customFormat="1" ht="30" customHeight="1" thickBot="1" x14ac:dyDescent="0.35">
      <c r="A47" s="109" t="s">
        <v>16</v>
      </c>
      <c r="B47" s="127"/>
      <c r="C47" s="48"/>
      <c r="D47" s="41">
        <f t="shared" ref="D47:U47" si="25">SUM(D37:D46)</f>
        <v>0</v>
      </c>
      <c r="E47" s="41">
        <f t="shared" si="25"/>
        <v>0</v>
      </c>
      <c r="F47" s="41">
        <f t="shared" si="25"/>
        <v>0</v>
      </c>
      <c r="G47" s="41">
        <f t="shared" si="25"/>
        <v>0</v>
      </c>
      <c r="H47" s="41">
        <f t="shared" si="25"/>
        <v>0</v>
      </c>
      <c r="I47" s="41">
        <f t="shared" si="25"/>
        <v>0</v>
      </c>
      <c r="J47" s="41">
        <f t="shared" si="25"/>
        <v>0</v>
      </c>
      <c r="K47" s="41">
        <f t="shared" si="25"/>
        <v>4</v>
      </c>
      <c r="L47" s="41">
        <f t="shared" si="25"/>
        <v>0</v>
      </c>
      <c r="M47" s="41">
        <f t="shared" si="25"/>
        <v>0</v>
      </c>
      <c r="N47" s="41">
        <f t="shared" si="25"/>
        <v>0</v>
      </c>
      <c r="O47" s="41">
        <f t="shared" si="25"/>
        <v>5</v>
      </c>
      <c r="P47" s="41">
        <f t="shared" si="25"/>
        <v>0</v>
      </c>
      <c r="Q47" s="41">
        <f t="shared" si="25"/>
        <v>0</v>
      </c>
      <c r="R47" s="41">
        <f t="shared" si="25"/>
        <v>0</v>
      </c>
      <c r="S47" s="41">
        <f t="shared" si="25"/>
        <v>13</v>
      </c>
      <c r="T47" s="41">
        <f t="shared" si="25"/>
        <v>0</v>
      </c>
      <c r="U47" s="41">
        <f t="shared" si="25"/>
        <v>0</v>
      </c>
      <c r="V47" s="42"/>
      <c r="W47" s="42"/>
      <c r="X47" s="42"/>
    </row>
    <row r="48" spans="1:24" s="49" customFormat="1" ht="30" customHeight="1" thickBot="1" x14ac:dyDescent="0.35">
      <c r="A48" s="109" t="s">
        <v>17</v>
      </c>
      <c r="B48" s="110"/>
      <c r="C48" s="25"/>
      <c r="D48" s="27">
        <f>D47/6</f>
        <v>0</v>
      </c>
      <c r="E48" s="27">
        <f>E47/7.5</f>
        <v>0</v>
      </c>
      <c r="F48" s="27">
        <f t="shared" ref="F48" si="26">F47/6</f>
        <v>0</v>
      </c>
      <c r="G48" s="27">
        <f t="shared" ref="G48" si="27">G47/7.5</f>
        <v>0</v>
      </c>
      <c r="H48" s="27">
        <f t="shared" ref="H48" si="28">H47/6</f>
        <v>0</v>
      </c>
      <c r="I48" s="27">
        <f t="shared" ref="I48" si="29">I47/7.5</f>
        <v>0</v>
      </c>
      <c r="J48" s="27">
        <f t="shared" ref="J48" si="30">J47/6</f>
        <v>0</v>
      </c>
      <c r="K48" s="27">
        <f t="shared" ref="K48" si="31">K47/7.5</f>
        <v>0.53333333333333333</v>
      </c>
      <c r="L48" s="27">
        <f t="shared" ref="L48" si="32">L47/6</f>
        <v>0</v>
      </c>
      <c r="M48" s="27">
        <f t="shared" ref="M48" si="33">M47/7.5</f>
        <v>0</v>
      </c>
      <c r="N48" s="27">
        <f t="shared" ref="N48" si="34">N47/6</f>
        <v>0</v>
      </c>
      <c r="O48" s="27">
        <f t="shared" ref="O48" si="35">O47/7.5</f>
        <v>0.66666666666666663</v>
      </c>
      <c r="P48" s="27">
        <f t="shared" ref="P48" si="36">P47/6</f>
        <v>0</v>
      </c>
      <c r="Q48" s="27">
        <f t="shared" ref="Q48" si="37">Q47/7.5</f>
        <v>0</v>
      </c>
      <c r="R48" s="27">
        <f t="shared" ref="R48" si="38">R47/6</f>
        <v>0</v>
      </c>
      <c r="S48" s="27">
        <f t="shared" ref="S48" si="39">S47/7.5</f>
        <v>1.7333333333333334</v>
      </c>
      <c r="T48" s="27">
        <f t="shared" ref="T48" si="40">T47/6</f>
        <v>0</v>
      </c>
      <c r="U48" s="27">
        <f t="shared" ref="U48" si="41">U47/7.5</f>
        <v>0</v>
      </c>
      <c r="V48" s="42"/>
      <c r="W48" s="42"/>
      <c r="X48" s="42"/>
    </row>
    <row r="49" spans="1:24" s="49" customFormat="1" ht="30" customHeight="1" thickBot="1" x14ac:dyDescent="0.35">
      <c r="A49" s="111" t="s">
        <v>35</v>
      </c>
      <c r="B49" s="112"/>
      <c r="C49" s="28"/>
      <c r="D49" s="113">
        <f>D48+E48</f>
        <v>0</v>
      </c>
      <c r="E49" s="114"/>
      <c r="F49" s="115">
        <f t="shared" ref="F49" si="42">F48+G48</f>
        <v>0</v>
      </c>
      <c r="G49" s="114"/>
      <c r="H49" s="115">
        <f t="shared" ref="H49" si="43">H48+I48</f>
        <v>0</v>
      </c>
      <c r="I49" s="114"/>
      <c r="J49" s="113">
        <f t="shared" ref="J49" si="44">J48+K48</f>
        <v>0.53333333333333333</v>
      </c>
      <c r="K49" s="114"/>
      <c r="L49" s="115">
        <f t="shared" ref="L49" si="45">L48+M48</f>
        <v>0</v>
      </c>
      <c r="M49" s="114"/>
      <c r="N49" s="115">
        <f t="shared" ref="N49" si="46">N48+O48</f>
        <v>0.66666666666666663</v>
      </c>
      <c r="O49" s="114"/>
      <c r="P49" s="115">
        <f t="shared" ref="P49" si="47">P48+Q48</f>
        <v>0</v>
      </c>
      <c r="Q49" s="114"/>
      <c r="R49" s="115">
        <f t="shared" ref="R49" si="48">R48+S48</f>
        <v>1.7333333333333334</v>
      </c>
      <c r="S49" s="114"/>
      <c r="T49" s="115">
        <f t="shared" ref="T49" si="49">T48+U48</f>
        <v>0</v>
      </c>
      <c r="U49" s="114"/>
      <c r="V49" s="42"/>
      <c r="W49" s="42"/>
      <c r="X49" s="42"/>
    </row>
    <row r="50" spans="1:24" s="50" customFormat="1" ht="30" customHeight="1" thickBot="1" x14ac:dyDescent="0.35">
      <c r="A50" s="131" t="s">
        <v>13</v>
      </c>
      <c r="B50" s="132"/>
      <c r="C50" s="26"/>
      <c r="D50" s="41">
        <f>SUM(D32,D47)</f>
        <v>7</v>
      </c>
      <c r="E50" s="41">
        <f t="shared" ref="E50:S50" si="50">SUM(E32,E47)</f>
        <v>4</v>
      </c>
      <c r="F50" s="41">
        <f t="shared" si="50"/>
        <v>0</v>
      </c>
      <c r="G50" s="41">
        <f t="shared" si="50"/>
        <v>0</v>
      </c>
      <c r="H50" s="41">
        <f t="shared" si="50"/>
        <v>0</v>
      </c>
      <c r="I50" s="41">
        <f t="shared" si="50"/>
        <v>0</v>
      </c>
      <c r="J50" s="41">
        <f t="shared" si="50"/>
        <v>32</v>
      </c>
      <c r="K50" s="41">
        <f t="shared" si="50"/>
        <v>14.25</v>
      </c>
      <c r="L50" s="41">
        <f t="shared" si="50"/>
        <v>0</v>
      </c>
      <c r="M50" s="41">
        <f t="shared" si="50"/>
        <v>0</v>
      </c>
      <c r="N50" s="41">
        <f t="shared" si="50"/>
        <v>33.75</v>
      </c>
      <c r="O50" s="41">
        <f t="shared" si="50"/>
        <v>22.25</v>
      </c>
      <c r="P50" s="41">
        <f t="shared" si="50"/>
        <v>0</v>
      </c>
      <c r="Q50" s="41">
        <f t="shared" si="50"/>
        <v>0</v>
      </c>
      <c r="R50" s="41">
        <f t="shared" si="50"/>
        <v>46</v>
      </c>
      <c r="S50" s="41">
        <f t="shared" si="50"/>
        <v>48</v>
      </c>
      <c r="T50" s="17" t="e">
        <f>SUM(T32,#REF!,T47)</f>
        <v>#REF!</v>
      </c>
      <c r="U50" s="17" t="e">
        <f>SUM(U32,#REF!,U47)</f>
        <v>#REF!</v>
      </c>
      <c r="V50" s="3"/>
      <c r="W50" s="3"/>
      <c r="X50" s="3"/>
    </row>
    <row r="51" spans="1:24" s="50" customFormat="1" ht="30" customHeight="1" thickBot="1" x14ac:dyDescent="0.35">
      <c r="A51" s="131" t="s">
        <v>15</v>
      </c>
      <c r="B51" s="132"/>
      <c r="C51" s="26"/>
      <c r="D51" s="27">
        <f>D50/6</f>
        <v>1.1666666666666667</v>
      </c>
      <c r="E51" s="43">
        <f>E50/7.5</f>
        <v>0.53333333333333333</v>
      </c>
      <c r="F51" s="27">
        <f t="shared" ref="F51" si="51">F50/6</f>
        <v>0</v>
      </c>
      <c r="G51" s="43">
        <f t="shared" ref="G51" si="52">G50/7.5</f>
        <v>0</v>
      </c>
      <c r="H51" s="27">
        <f t="shared" ref="H51" si="53">H50/6</f>
        <v>0</v>
      </c>
      <c r="I51" s="43">
        <f t="shared" ref="I51" si="54">I50/7.5</f>
        <v>0</v>
      </c>
      <c r="J51" s="27">
        <f t="shared" ref="J51" si="55">J50/6</f>
        <v>5.333333333333333</v>
      </c>
      <c r="K51" s="43">
        <f t="shared" ref="K51" si="56">K50/7.5</f>
        <v>1.9</v>
      </c>
      <c r="L51" s="27">
        <f t="shared" ref="L51" si="57">L50/6</f>
        <v>0</v>
      </c>
      <c r="M51" s="43">
        <f t="shared" ref="M51" si="58">M50/7.5</f>
        <v>0</v>
      </c>
      <c r="N51" s="27">
        <f t="shared" ref="N51" si="59">N50/6</f>
        <v>5.625</v>
      </c>
      <c r="O51" s="43">
        <f t="shared" ref="O51" si="60">O50/7.5</f>
        <v>2.9666666666666668</v>
      </c>
      <c r="P51" s="27">
        <f t="shared" ref="P51" si="61">P50/6</f>
        <v>0</v>
      </c>
      <c r="Q51" s="43">
        <f t="shared" ref="Q51" si="62">Q50/7.5</f>
        <v>0</v>
      </c>
      <c r="R51" s="27">
        <f t="shared" ref="R51" si="63">R50/6</f>
        <v>7.666666666666667</v>
      </c>
      <c r="S51" s="43">
        <f t="shared" ref="S51" si="64">S50/7.5</f>
        <v>6.4</v>
      </c>
      <c r="T51" s="9" t="e">
        <f t="shared" ref="T51" si="65">T50/6</f>
        <v>#REF!</v>
      </c>
      <c r="U51" s="18" t="e">
        <f t="shared" ref="U51" si="66">U50/7.5</f>
        <v>#REF!</v>
      </c>
      <c r="V51" s="3"/>
      <c r="W51" s="3"/>
      <c r="X51" s="3"/>
    </row>
    <row r="52" spans="1:24" s="50" customFormat="1" ht="30" customHeight="1" thickBot="1" x14ac:dyDescent="0.35">
      <c r="A52" s="122" t="s">
        <v>36</v>
      </c>
      <c r="B52" s="123"/>
      <c r="C52" s="10"/>
      <c r="D52" s="130">
        <f>D51+E51</f>
        <v>1.7000000000000002</v>
      </c>
      <c r="E52" s="129"/>
      <c r="F52" s="128">
        <f t="shared" ref="F52" si="67">F51+G51</f>
        <v>0</v>
      </c>
      <c r="G52" s="129"/>
      <c r="H52" s="128">
        <f t="shared" ref="H52" si="68">H51+I51</f>
        <v>0</v>
      </c>
      <c r="I52" s="129"/>
      <c r="J52" s="130">
        <f t="shared" ref="J52" si="69">J51+K51</f>
        <v>7.2333333333333325</v>
      </c>
      <c r="K52" s="129"/>
      <c r="L52" s="128">
        <f t="shared" ref="L52" si="70">L51+M51</f>
        <v>0</v>
      </c>
      <c r="M52" s="129"/>
      <c r="N52" s="128">
        <f t="shared" ref="N52" si="71">N51+O51</f>
        <v>8.5916666666666668</v>
      </c>
      <c r="O52" s="129"/>
      <c r="P52" s="128">
        <f t="shared" ref="P52" si="72">P51+Q51</f>
        <v>0</v>
      </c>
      <c r="Q52" s="129"/>
      <c r="R52" s="128">
        <f t="shared" ref="R52" si="73">R51+S51</f>
        <v>14.066666666666666</v>
      </c>
      <c r="S52" s="129"/>
      <c r="T52" s="138" t="e">
        <f t="shared" ref="T52" si="74">T51+U51</f>
        <v>#REF!</v>
      </c>
      <c r="U52" s="139"/>
      <c r="V52" s="3"/>
      <c r="W52" s="3"/>
      <c r="X52" s="3"/>
    </row>
    <row r="53" spans="1:24" s="50" customFormat="1" ht="30" customHeight="1" thickBot="1" x14ac:dyDescent="0.35">
      <c r="A53" s="135" t="s">
        <v>8</v>
      </c>
      <c r="B53" s="137"/>
      <c r="C53" s="44"/>
      <c r="D53" s="46"/>
      <c r="E53" s="46"/>
      <c r="F53" s="45"/>
      <c r="G53" s="46"/>
      <c r="H53" s="45"/>
      <c r="I53" s="46"/>
      <c r="J53" s="29"/>
      <c r="K53" s="47"/>
      <c r="L53" s="45"/>
      <c r="M53" s="46"/>
      <c r="N53" s="45"/>
      <c r="O53" s="46"/>
      <c r="P53" s="45"/>
      <c r="Q53" s="46"/>
      <c r="R53" s="45"/>
      <c r="S53" s="46"/>
      <c r="T53" s="20">
        <v>0</v>
      </c>
      <c r="U53" s="19">
        <v>0</v>
      </c>
      <c r="V53" s="3"/>
      <c r="W53" s="3"/>
      <c r="X53" s="3"/>
    </row>
    <row r="54" spans="1:24" s="50" customFormat="1" ht="30" customHeight="1" thickBot="1" x14ac:dyDescent="0.35">
      <c r="A54" s="135" t="s">
        <v>9</v>
      </c>
      <c r="B54" s="136"/>
      <c r="C54" s="44"/>
      <c r="D54" s="113"/>
      <c r="E54" s="114"/>
      <c r="F54" s="113"/>
      <c r="G54" s="114"/>
      <c r="H54" s="113"/>
      <c r="I54" s="114"/>
      <c r="J54" s="113"/>
      <c r="K54" s="114"/>
      <c r="L54" s="113"/>
      <c r="M54" s="114"/>
      <c r="N54" s="113"/>
      <c r="O54" s="114"/>
      <c r="P54" s="113"/>
      <c r="Q54" s="114"/>
      <c r="R54" s="113"/>
      <c r="S54" s="114"/>
      <c r="T54" s="133">
        <f>T53+U53</f>
        <v>0</v>
      </c>
      <c r="U54" s="134"/>
      <c r="V54" s="3"/>
      <c r="W54" s="3"/>
      <c r="X54" s="3"/>
    </row>
    <row r="55" spans="1:24" s="50" customFormat="1" ht="30" customHeight="1" thickBot="1" x14ac:dyDescent="0.35">
      <c r="A55" s="135" t="s">
        <v>10</v>
      </c>
      <c r="B55" s="136"/>
      <c r="C55" s="44"/>
      <c r="D55" s="113">
        <f>SUM(D52+D54)</f>
        <v>1.7000000000000002</v>
      </c>
      <c r="E55" s="114"/>
      <c r="F55" s="115">
        <f>SUM(F52+F54)</f>
        <v>0</v>
      </c>
      <c r="G55" s="114"/>
      <c r="H55" s="115">
        <f>SUM(H52+H54)</f>
        <v>0</v>
      </c>
      <c r="I55" s="114"/>
      <c r="J55" s="113">
        <f>SUM(J52+J54)</f>
        <v>7.2333333333333325</v>
      </c>
      <c r="K55" s="114"/>
      <c r="L55" s="115">
        <f>SUM(L52+L54)</f>
        <v>0</v>
      </c>
      <c r="M55" s="114"/>
      <c r="N55" s="115">
        <f>SUM(N52+N54)</f>
        <v>8.5916666666666668</v>
      </c>
      <c r="O55" s="114"/>
      <c r="P55" s="115">
        <f>SUM(P52+P54)</f>
        <v>0</v>
      </c>
      <c r="Q55" s="114"/>
      <c r="R55" s="115">
        <f>SUM(R52+R54)</f>
        <v>14.066666666666666</v>
      </c>
      <c r="S55" s="114"/>
      <c r="T55" s="138" t="e">
        <f>SUM(T52+T54)</f>
        <v>#REF!</v>
      </c>
      <c r="U55" s="139"/>
      <c r="V55" s="3"/>
      <c r="W55" s="3"/>
      <c r="X55" s="3"/>
    </row>
    <row r="56" spans="1:24" s="50" customFormat="1" ht="30" customHeight="1" thickBot="1" x14ac:dyDescent="0.35">
      <c r="A56" s="135" t="s">
        <v>11</v>
      </c>
      <c r="B56" s="136"/>
      <c r="C56" s="44"/>
      <c r="D56" s="135">
        <v>24</v>
      </c>
      <c r="E56" s="137"/>
      <c r="F56" s="135"/>
      <c r="G56" s="137"/>
      <c r="H56" s="135">
        <v>25</v>
      </c>
      <c r="I56" s="137"/>
      <c r="J56" s="135">
        <v>24</v>
      </c>
      <c r="K56" s="137"/>
      <c r="L56" s="135">
        <v>25</v>
      </c>
      <c r="M56" s="137"/>
      <c r="N56" s="135">
        <v>24</v>
      </c>
      <c r="O56" s="137"/>
      <c r="P56" s="135">
        <v>25</v>
      </c>
      <c r="Q56" s="137"/>
      <c r="R56" s="135">
        <v>24</v>
      </c>
      <c r="S56" s="137"/>
      <c r="T56" s="133">
        <v>21</v>
      </c>
      <c r="U56" s="134"/>
      <c r="V56" s="3"/>
      <c r="W56" s="3"/>
      <c r="X56" s="3"/>
    </row>
    <row r="57" spans="1:24" s="50" customFormat="1" ht="30" customHeight="1" thickBot="1" x14ac:dyDescent="0.35">
      <c r="A57" s="135" t="s">
        <v>25</v>
      </c>
      <c r="B57" s="136"/>
      <c r="C57" s="44"/>
      <c r="D57" s="135"/>
      <c r="E57" s="137"/>
      <c r="F57" s="136">
        <v>21</v>
      </c>
      <c r="G57" s="137"/>
      <c r="H57" s="136">
        <v>21</v>
      </c>
      <c r="I57" s="137"/>
      <c r="J57" s="135"/>
      <c r="K57" s="137"/>
      <c r="L57" s="136">
        <v>21</v>
      </c>
      <c r="M57" s="137"/>
      <c r="N57" s="136"/>
      <c r="O57" s="137"/>
      <c r="P57" s="136">
        <v>21</v>
      </c>
      <c r="Q57" s="137"/>
      <c r="R57" s="136"/>
      <c r="S57" s="137"/>
      <c r="T57" s="133">
        <v>21</v>
      </c>
      <c r="U57" s="134"/>
      <c r="V57" s="3"/>
      <c r="W57" s="3"/>
      <c r="X57" s="3"/>
    </row>
    <row r="58" spans="1:24" s="50" customFormat="1" ht="30" customHeight="1" thickBot="1" x14ac:dyDescent="0.35">
      <c r="A58" s="135" t="s">
        <v>12</v>
      </c>
      <c r="B58" s="136"/>
      <c r="C58" s="44"/>
      <c r="D58" s="113">
        <f>D56-D55-D57</f>
        <v>22.3</v>
      </c>
      <c r="E58" s="114"/>
      <c r="F58" s="115">
        <f t="shared" ref="F58" si="75">F56-F55-F57</f>
        <v>-21</v>
      </c>
      <c r="G58" s="114"/>
      <c r="H58" s="115">
        <f t="shared" ref="H58" si="76">H56-H55-H57</f>
        <v>4</v>
      </c>
      <c r="I58" s="114"/>
      <c r="J58" s="113">
        <f t="shared" ref="J58" si="77">J56-J55-J57</f>
        <v>16.766666666666666</v>
      </c>
      <c r="K58" s="114"/>
      <c r="L58" s="115">
        <f t="shared" ref="L58" si="78">L56-L55-L57</f>
        <v>4</v>
      </c>
      <c r="M58" s="114"/>
      <c r="N58" s="115">
        <f t="shared" ref="N58" si="79">N56-N55-N57</f>
        <v>15.408333333333333</v>
      </c>
      <c r="O58" s="114"/>
      <c r="P58" s="115">
        <f t="shared" ref="P58" si="80">P56-P55-P57</f>
        <v>4</v>
      </c>
      <c r="Q58" s="114"/>
      <c r="R58" s="115">
        <f t="shared" ref="R58" si="81">R56-R55-R57</f>
        <v>9.9333333333333336</v>
      </c>
      <c r="S58" s="114"/>
      <c r="T58" s="138" t="e">
        <f>T56-T55</f>
        <v>#REF!</v>
      </c>
      <c r="U58" s="139"/>
      <c r="V58" s="3"/>
      <c r="W58" s="3"/>
      <c r="X58" s="3"/>
    </row>
  </sheetData>
  <mergeCells count="114">
    <mergeCell ref="V5:X5"/>
    <mergeCell ref="T49:U49"/>
    <mergeCell ref="T52:U52"/>
    <mergeCell ref="T54:U54"/>
    <mergeCell ref="T55:U55"/>
    <mergeCell ref="T58:U58"/>
    <mergeCell ref="T56:U56"/>
    <mergeCell ref="P49:Q49"/>
    <mergeCell ref="P52:Q52"/>
    <mergeCell ref="P54:Q54"/>
    <mergeCell ref="N35:Q35"/>
    <mergeCell ref="R35:U35"/>
    <mergeCell ref="N49:O49"/>
    <mergeCell ref="P55:Q55"/>
    <mergeCell ref="P56:Q56"/>
    <mergeCell ref="P58:Q58"/>
    <mergeCell ref="R54:S54"/>
    <mergeCell ref="N58:O58"/>
    <mergeCell ref="R49:S49"/>
    <mergeCell ref="N54:O54"/>
    <mergeCell ref="N55:O55"/>
    <mergeCell ref="N56:O56"/>
    <mergeCell ref="P5:Q5"/>
    <mergeCell ref="R5:S5"/>
    <mergeCell ref="L52:M52"/>
    <mergeCell ref="L54:M54"/>
    <mergeCell ref="L55:M55"/>
    <mergeCell ref="L56:M56"/>
    <mergeCell ref="L34:M34"/>
    <mergeCell ref="R52:S52"/>
    <mergeCell ref="N52:O52"/>
    <mergeCell ref="J54:K54"/>
    <mergeCell ref="J52:K52"/>
    <mergeCell ref="R34:S34"/>
    <mergeCell ref="N34:O34"/>
    <mergeCell ref="P34:Q34"/>
    <mergeCell ref="J35:M35"/>
    <mergeCell ref="R55:S55"/>
    <mergeCell ref="J49:K49"/>
    <mergeCell ref="R56:S56"/>
    <mergeCell ref="J56:K56"/>
    <mergeCell ref="N57:O57"/>
    <mergeCell ref="P57:Q57"/>
    <mergeCell ref="J58:K58"/>
    <mergeCell ref="L57:M57"/>
    <mergeCell ref="R58:S58"/>
    <mergeCell ref="R57:S57"/>
    <mergeCell ref="F57:G57"/>
    <mergeCell ref="L58:M58"/>
    <mergeCell ref="F58:G58"/>
    <mergeCell ref="H58:I58"/>
    <mergeCell ref="F56:G56"/>
    <mergeCell ref="H57:I57"/>
    <mergeCell ref="J57:K57"/>
    <mergeCell ref="A58:B58"/>
    <mergeCell ref="D58:E58"/>
    <mergeCell ref="A54:B54"/>
    <mergeCell ref="D54:E54"/>
    <mergeCell ref="J55:K55"/>
    <mergeCell ref="A56:B56"/>
    <mergeCell ref="D56:E56"/>
    <mergeCell ref="A57:B57"/>
    <mergeCell ref="D57:E57"/>
    <mergeCell ref="H56:I56"/>
    <mergeCell ref="A52:B52"/>
    <mergeCell ref="D52:E52"/>
    <mergeCell ref="H54:I54"/>
    <mergeCell ref="F52:G52"/>
    <mergeCell ref="A53:B53"/>
    <mergeCell ref="A55:B55"/>
    <mergeCell ref="D55:E55"/>
    <mergeCell ref="H55:I55"/>
    <mergeCell ref="F55:G55"/>
    <mergeCell ref="A2:S2"/>
    <mergeCell ref="A3:S3"/>
    <mergeCell ref="D4:G4"/>
    <mergeCell ref="R4:U4"/>
    <mergeCell ref="T5:U5"/>
    <mergeCell ref="D5:E5"/>
    <mergeCell ref="F5:G5"/>
    <mergeCell ref="H4:I4"/>
    <mergeCell ref="J4:M4"/>
    <mergeCell ref="N4:Q4"/>
    <mergeCell ref="H5:I5"/>
    <mergeCell ref="J5:K5"/>
    <mergeCell ref="L5:M5"/>
    <mergeCell ref="N5:O5"/>
    <mergeCell ref="A5:A6"/>
    <mergeCell ref="B5:B6"/>
    <mergeCell ref="C5:C6"/>
    <mergeCell ref="T57:U57"/>
    <mergeCell ref="A32:B32"/>
    <mergeCell ref="A33:B33"/>
    <mergeCell ref="T34:U34"/>
    <mergeCell ref="A34:B34"/>
    <mergeCell ref="D34:E34"/>
    <mergeCell ref="F34:G34"/>
    <mergeCell ref="H34:I34"/>
    <mergeCell ref="D35:G35"/>
    <mergeCell ref="H35:I35"/>
    <mergeCell ref="F49:G49"/>
    <mergeCell ref="H49:I49"/>
    <mergeCell ref="C35:C36"/>
    <mergeCell ref="A35:B36"/>
    <mergeCell ref="F54:G54"/>
    <mergeCell ref="J34:K34"/>
    <mergeCell ref="H52:I52"/>
    <mergeCell ref="L49:M49"/>
    <mergeCell ref="A47:B47"/>
    <mergeCell ref="A48:B48"/>
    <mergeCell ref="A49:B49"/>
    <mergeCell ref="D49:E49"/>
    <mergeCell ref="A50:B50"/>
    <mergeCell ref="A51:B51"/>
  </mergeCells>
  <phoneticPr fontId="6" type="noConversion"/>
  <printOptions horizontalCentered="1" verticalCentered="1"/>
  <pageMargins left="0" right="0" top="0" bottom="0" header="0.31496062992125984" footer="0.31496062992125984"/>
  <pageSetup paperSize="9" scale="68" fitToHeight="5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38B32-81C4-4CE7-9035-A7930FC7180E}">
  <dimension ref="A1:V53"/>
  <sheetViews>
    <sheetView zoomScale="90" zoomScaleNormal="90" zoomScaleSheetLayoutView="86" workbookViewId="0">
      <pane ySplit="6" topLeftCell="A24" activePane="bottomLeft" state="frozen"/>
      <selection pane="bottomLeft" activeCell="B26" sqref="B26"/>
    </sheetView>
  </sheetViews>
  <sheetFormatPr defaultRowHeight="14.4" x14ac:dyDescent="0.3"/>
  <cols>
    <col min="1" max="1" width="13.21875" customWidth="1"/>
    <col min="2" max="2" width="68.21875" customWidth="1"/>
    <col min="3" max="3" width="16.21875" customWidth="1"/>
    <col min="4" max="5" width="10.77734375" customWidth="1"/>
    <col min="6" max="7" width="10.77734375" hidden="1" customWidth="1"/>
    <col min="8" max="9" width="9.21875" hidden="1" customWidth="1"/>
    <col min="10" max="11" width="9.21875" customWidth="1"/>
    <col min="12" max="13" width="9.21875" hidden="1" customWidth="1"/>
    <col min="14" max="15" width="9.21875" customWidth="1"/>
    <col min="16" max="18" width="9.21875" hidden="1" customWidth="1"/>
    <col min="19" max="19" width="2.21875" hidden="1" customWidth="1"/>
    <col min="20" max="22" width="21.44140625" style="1" customWidth="1"/>
  </cols>
  <sheetData>
    <row r="1" spans="1:22" ht="15" thickBot="1" x14ac:dyDescent="0.35"/>
    <row r="2" spans="1:22" s="59" customFormat="1" ht="26.4" thickBot="1" x14ac:dyDescent="0.55000000000000004">
      <c r="A2" s="160" t="s">
        <v>65</v>
      </c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161"/>
      <c r="Q2" s="161"/>
      <c r="R2" s="58"/>
      <c r="S2" s="58"/>
      <c r="T2" s="56"/>
      <c r="U2" s="56"/>
      <c r="V2" s="56"/>
    </row>
    <row r="3" spans="1:22" s="2" customFormat="1" ht="15" thickBot="1" x14ac:dyDescent="0.35">
      <c r="A3" s="163" t="s">
        <v>14</v>
      </c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57"/>
      <c r="S3" s="57"/>
      <c r="T3" s="3"/>
      <c r="U3" s="3"/>
      <c r="V3" s="3"/>
    </row>
    <row r="4" spans="1:22" s="63" customFormat="1" thickBot="1" x14ac:dyDescent="0.35">
      <c r="A4" s="60"/>
      <c r="B4" s="61"/>
      <c r="C4" s="61"/>
      <c r="D4" s="166" t="s">
        <v>1</v>
      </c>
      <c r="E4" s="167"/>
      <c r="F4" s="167"/>
      <c r="G4" s="168"/>
      <c r="H4" s="167"/>
      <c r="I4" s="168"/>
      <c r="J4" s="166" t="s">
        <v>33</v>
      </c>
      <c r="K4" s="167"/>
      <c r="L4" s="167"/>
      <c r="M4" s="168"/>
      <c r="N4" s="166" t="s">
        <v>66</v>
      </c>
      <c r="O4" s="167"/>
      <c r="P4" s="167"/>
      <c r="Q4" s="168"/>
      <c r="R4" s="167"/>
      <c r="S4" s="168"/>
      <c r="T4" s="62"/>
      <c r="U4" s="62"/>
      <c r="V4" s="62"/>
    </row>
    <row r="5" spans="1:22" s="63" customFormat="1" thickBot="1" x14ac:dyDescent="0.35">
      <c r="A5" s="169" t="s">
        <v>18</v>
      </c>
      <c r="B5" s="169" t="s">
        <v>0</v>
      </c>
      <c r="C5" s="171" t="s">
        <v>21</v>
      </c>
      <c r="D5" s="104" t="s">
        <v>19</v>
      </c>
      <c r="E5" s="105"/>
      <c r="F5" s="102" t="s">
        <v>20</v>
      </c>
      <c r="G5" s="103"/>
      <c r="H5" s="102" t="s">
        <v>20</v>
      </c>
      <c r="I5" s="103"/>
      <c r="J5" s="104" t="s">
        <v>19</v>
      </c>
      <c r="K5" s="105"/>
      <c r="L5" s="102" t="s">
        <v>20</v>
      </c>
      <c r="M5" s="103"/>
      <c r="N5" s="104" t="s">
        <v>19</v>
      </c>
      <c r="O5" s="105"/>
      <c r="P5" s="102" t="s">
        <v>20</v>
      </c>
      <c r="Q5" s="103"/>
      <c r="R5" s="106" t="s">
        <v>20</v>
      </c>
      <c r="S5" s="107"/>
      <c r="T5" s="108"/>
      <c r="U5" s="108"/>
      <c r="V5" s="108"/>
    </row>
    <row r="6" spans="1:22" s="66" customFormat="1" thickBot="1" x14ac:dyDescent="0.35">
      <c r="A6" s="170"/>
      <c r="B6" s="170"/>
      <c r="C6" s="172"/>
      <c r="D6" s="64" t="s">
        <v>2</v>
      </c>
      <c r="E6" s="65" t="s">
        <v>3</v>
      </c>
      <c r="F6" s="64" t="s">
        <v>2</v>
      </c>
      <c r="G6" s="65" t="s">
        <v>3</v>
      </c>
      <c r="H6" s="64" t="s">
        <v>2</v>
      </c>
      <c r="I6" s="65" t="s">
        <v>3</v>
      </c>
      <c r="J6" s="64" t="s">
        <v>2</v>
      </c>
      <c r="K6" s="65" t="s">
        <v>3</v>
      </c>
      <c r="L6" s="64" t="s">
        <v>2</v>
      </c>
      <c r="M6" s="65" t="s">
        <v>3</v>
      </c>
      <c r="N6" s="64" t="s">
        <v>2</v>
      </c>
      <c r="O6" s="65" t="s">
        <v>3</v>
      </c>
      <c r="P6" s="64" t="s">
        <v>2</v>
      </c>
      <c r="Q6" s="65" t="s">
        <v>3</v>
      </c>
      <c r="R6" s="64" t="s">
        <v>2</v>
      </c>
      <c r="S6" s="65" t="s">
        <v>3</v>
      </c>
      <c r="T6" s="62"/>
      <c r="U6" s="62"/>
      <c r="V6" s="62"/>
    </row>
    <row r="7" spans="1:22" s="2" customFormat="1" ht="35.1" customHeight="1" thickBot="1" x14ac:dyDescent="0.35">
      <c r="A7" s="24">
        <v>1</v>
      </c>
      <c r="B7" s="87" t="s">
        <v>72</v>
      </c>
      <c r="C7" s="74" t="s">
        <v>82</v>
      </c>
      <c r="D7" s="75"/>
      <c r="E7" s="76"/>
      <c r="F7" s="75"/>
      <c r="G7" s="76"/>
      <c r="H7" s="75"/>
      <c r="I7" s="77"/>
      <c r="J7" s="75">
        <v>1</v>
      </c>
      <c r="K7" s="77">
        <v>2.5</v>
      </c>
      <c r="L7" s="75"/>
      <c r="M7" s="77"/>
      <c r="N7" s="75">
        <v>3</v>
      </c>
      <c r="O7" s="77">
        <v>2</v>
      </c>
      <c r="P7" s="21"/>
      <c r="Q7" s="23"/>
      <c r="R7" s="21">
        <v>4</v>
      </c>
      <c r="S7" s="23"/>
      <c r="T7" s="3"/>
      <c r="U7" s="7"/>
      <c r="V7" s="7"/>
    </row>
    <row r="8" spans="1:22" s="2" customFormat="1" ht="35.1" customHeight="1" thickBot="1" x14ac:dyDescent="0.35">
      <c r="A8" s="24">
        <v>2</v>
      </c>
      <c r="B8" s="87" t="s">
        <v>68</v>
      </c>
      <c r="C8" s="74" t="s">
        <v>82</v>
      </c>
      <c r="D8" s="75"/>
      <c r="E8" s="76"/>
      <c r="F8" s="75"/>
      <c r="G8" s="76"/>
      <c r="H8" s="75"/>
      <c r="I8" s="77"/>
      <c r="J8" s="75">
        <v>1</v>
      </c>
      <c r="K8" s="77">
        <v>0.5</v>
      </c>
      <c r="L8" s="75"/>
      <c r="M8" s="77"/>
      <c r="N8" s="75">
        <v>4</v>
      </c>
      <c r="O8" s="77"/>
      <c r="P8" s="21"/>
      <c r="Q8" s="23"/>
      <c r="R8" s="5"/>
      <c r="S8" s="6"/>
      <c r="T8" s="3"/>
      <c r="U8" s="7"/>
      <c r="V8" s="7"/>
    </row>
    <row r="9" spans="1:22" s="2" customFormat="1" ht="35.1" customHeight="1" thickBot="1" x14ac:dyDescent="0.35">
      <c r="A9" s="24">
        <v>3</v>
      </c>
      <c r="B9" s="87" t="s">
        <v>73</v>
      </c>
      <c r="C9" s="74" t="s">
        <v>83</v>
      </c>
      <c r="D9" s="75"/>
      <c r="E9" s="76"/>
      <c r="F9" s="75"/>
      <c r="G9" s="76"/>
      <c r="H9" s="75"/>
      <c r="I9" s="77"/>
      <c r="J9" s="75">
        <v>1</v>
      </c>
      <c r="K9" s="77">
        <v>0.5</v>
      </c>
      <c r="L9" s="75"/>
      <c r="M9" s="77"/>
      <c r="N9" s="75">
        <v>2</v>
      </c>
      <c r="O9" s="77">
        <v>0.5</v>
      </c>
      <c r="P9" s="21"/>
      <c r="Q9" s="23"/>
      <c r="R9" s="5"/>
      <c r="S9" s="6"/>
      <c r="T9" s="3"/>
      <c r="U9" s="7"/>
      <c r="V9" s="7"/>
    </row>
    <row r="10" spans="1:22" s="2" customFormat="1" ht="35.1" customHeight="1" thickBot="1" x14ac:dyDescent="0.35">
      <c r="A10" s="24">
        <v>4</v>
      </c>
      <c r="B10" s="87" t="s">
        <v>92</v>
      </c>
      <c r="C10" s="74" t="s">
        <v>83</v>
      </c>
      <c r="D10" s="75"/>
      <c r="E10" s="76"/>
      <c r="F10" s="75"/>
      <c r="G10" s="76"/>
      <c r="H10" s="75"/>
      <c r="I10" s="77"/>
      <c r="J10" s="75">
        <v>1</v>
      </c>
      <c r="K10" s="77"/>
      <c r="L10" s="75"/>
      <c r="M10" s="77"/>
      <c r="N10" s="75">
        <v>3</v>
      </c>
      <c r="O10" s="77"/>
      <c r="P10" s="21"/>
      <c r="Q10" s="23"/>
      <c r="R10" s="5"/>
      <c r="S10" s="6"/>
      <c r="T10" s="51"/>
      <c r="U10" s="7"/>
      <c r="V10" s="7"/>
    </row>
    <row r="11" spans="1:22" s="2" customFormat="1" ht="35.1" customHeight="1" thickBot="1" x14ac:dyDescent="0.35">
      <c r="A11" s="24">
        <v>5</v>
      </c>
      <c r="B11" s="87" t="s">
        <v>78</v>
      </c>
      <c r="C11" s="74" t="s">
        <v>83</v>
      </c>
      <c r="D11" s="21"/>
      <c r="E11" s="22"/>
      <c r="F11" s="21"/>
      <c r="G11" s="22"/>
      <c r="H11" s="21"/>
      <c r="I11" s="23"/>
      <c r="J11" s="21">
        <v>18</v>
      </c>
      <c r="K11" s="23"/>
      <c r="L11" s="21"/>
      <c r="M11" s="23"/>
      <c r="N11" s="21">
        <v>18</v>
      </c>
      <c r="O11" s="23"/>
      <c r="P11" s="21"/>
      <c r="Q11" s="23"/>
      <c r="R11" s="5"/>
      <c r="S11" s="6"/>
      <c r="T11" s="51"/>
      <c r="U11" s="7"/>
      <c r="V11" s="7"/>
    </row>
    <row r="12" spans="1:22" s="2" customFormat="1" ht="35.1" customHeight="1" thickBot="1" x14ac:dyDescent="0.35">
      <c r="A12" s="24">
        <v>6</v>
      </c>
      <c r="B12" s="87" t="s">
        <v>74</v>
      </c>
      <c r="C12" s="74" t="s">
        <v>83</v>
      </c>
      <c r="D12" s="75"/>
      <c r="E12" s="76"/>
      <c r="F12" s="75"/>
      <c r="G12" s="76"/>
      <c r="H12" s="75"/>
      <c r="I12" s="77"/>
      <c r="J12" s="75">
        <v>2.5</v>
      </c>
      <c r="K12" s="77">
        <v>0.5</v>
      </c>
      <c r="L12" s="75"/>
      <c r="M12" s="77"/>
      <c r="N12" s="75">
        <v>5</v>
      </c>
      <c r="O12" s="77">
        <v>1.5</v>
      </c>
      <c r="P12" s="21"/>
      <c r="Q12" s="23"/>
      <c r="R12" s="5"/>
      <c r="S12" s="6"/>
      <c r="T12" s="51"/>
      <c r="U12" s="7"/>
      <c r="V12" s="7"/>
    </row>
    <row r="13" spans="1:22" s="2" customFormat="1" ht="35.1" customHeight="1" thickBot="1" x14ac:dyDescent="0.35">
      <c r="A13" s="24">
        <v>7</v>
      </c>
      <c r="B13" s="87" t="s">
        <v>70</v>
      </c>
      <c r="C13" s="74" t="s">
        <v>89</v>
      </c>
      <c r="D13" s="75"/>
      <c r="E13" s="76"/>
      <c r="F13" s="75"/>
      <c r="G13" s="76"/>
      <c r="H13" s="75"/>
      <c r="I13" s="77"/>
      <c r="J13" s="75">
        <v>1.5</v>
      </c>
      <c r="K13" s="77"/>
      <c r="L13" s="75"/>
      <c r="M13" s="77"/>
      <c r="N13" s="75">
        <v>1.5</v>
      </c>
      <c r="O13" s="77"/>
      <c r="P13" s="21"/>
      <c r="Q13" s="23"/>
      <c r="R13" s="5"/>
      <c r="S13" s="6"/>
      <c r="T13" s="51"/>
      <c r="U13" s="7"/>
      <c r="V13" s="7"/>
    </row>
    <row r="14" spans="1:22" s="2" customFormat="1" ht="35.1" customHeight="1" thickBot="1" x14ac:dyDescent="0.35">
      <c r="A14" s="24">
        <v>8</v>
      </c>
      <c r="B14" s="87" t="s">
        <v>80</v>
      </c>
      <c r="C14" s="74" t="s">
        <v>82</v>
      </c>
      <c r="D14" s="75"/>
      <c r="E14" s="76"/>
      <c r="F14" s="75"/>
      <c r="G14" s="76"/>
      <c r="H14" s="75"/>
      <c r="I14" s="77"/>
      <c r="J14" s="75">
        <v>2</v>
      </c>
      <c r="K14" s="77"/>
      <c r="L14" s="75"/>
      <c r="M14" s="77"/>
      <c r="N14" s="75">
        <v>4</v>
      </c>
      <c r="O14" s="77">
        <v>0.5</v>
      </c>
      <c r="P14" s="21"/>
      <c r="Q14" s="23"/>
      <c r="R14" s="5"/>
      <c r="S14" s="6"/>
      <c r="T14" s="51"/>
      <c r="U14" s="7"/>
      <c r="V14" s="7"/>
    </row>
    <row r="15" spans="1:22" s="2" customFormat="1" ht="35.1" customHeight="1" thickBot="1" x14ac:dyDescent="0.35">
      <c r="A15" s="24">
        <v>9</v>
      </c>
      <c r="B15" s="87" t="s">
        <v>81</v>
      </c>
      <c r="C15" s="74" t="s">
        <v>90</v>
      </c>
      <c r="D15" s="75"/>
      <c r="E15" s="76"/>
      <c r="F15" s="75"/>
      <c r="G15" s="76"/>
      <c r="H15" s="75"/>
      <c r="I15" s="77"/>
      <c r="J15" s="75"/>
      <c r="K15" s="77">
        <v>0.5</v>
      </c>
      <c r="L15" s="75"/>
      <c r="M15" s="77"/>
      <c r="N15" s="75">
        <v>2</v>
      </c>
      <c r="O15" s="77">
        <v>1</v>
      </c>
      <c r="P15" s="21"/>
      <c r="Q15" s="23"/>
      <c r="R15" s="5"/>
      <c r="S15" s="6"/>
      <c r="T15" s="51"/>
      <c r="U15" s="7"/>
      <c r="V15" s="7"/>
    </row>
    <row r="16" spans="1:22" s="2" customFormat="1" ht="35.1" customHeight="1" thickBot="1" x14ac:dyDescent="0.35">
      <c r="A16" s="24">
        <v>10</v>
      </c>
      <c r="B16" s="87" t="s">
        <v>75</v>
      </c>
      <c r="C16" s="74" t="s">
        <v>89</v>
      </c>
      <c r="D16" s="75"/>
      <c r="E16" s="76"/>
      <c r="F16" s="75"/>
      <c r="G16" s="76"/>
      <c r="H16" s="75"/>
      <c r="I16" s="77"/>
      <c r="J16" s="75">
        <v>1</v>
      </c>
      <c r="K16" s="77">
        <v>2.5</v>
      </c>
      <c r="L16" s="75"/>
      <c r="M16" s="77"/>
      <c r="N16" s="75">
        <v>3</v>
      </c>
      <c r="O16" s="77">
        <v>2</v>
      </c>
      <c r="P16" s="21"/>
      <c r="Q16" s="23"/>
      <c r="R16" s="5"/>
      <c r="S16" s="6"/>
      <c r="T16" s="51"/>
      <c r="U16" s="7"/>
      <c r="V16" s="7"/>
    </row>
    <row r="17" spans="1:22" s="2" customFormat="1" ht="35.1" customHeight="1" thickBot="1" x14ac:dyDescent="0.35">
      <c r="A17" s="24">
        <v>11</v>
      </c>
      <c r="B17" s="87" t="s">
        <v>69</v>
      </c>
      <c r="C17" s="74" t="s">
        <v>86</v>
      </c>
      <c r="D17" s="75"/>
      <c r="E17" s="76"/>
      <c r="F17" s="75"/>
      <c r="G17" s="76"/>
      <c r="H17" s="75"/>
      <c r="I17" s="77"/>
      <c r="J17" s="75">
        <v>1</v>
      </c>
      <c r="K17" s="77">
        <v>0.5</v>
      </c>
      <c r="L17" s="75"/>
      <c r="M17" s="77"/>
      <c r="N17" s="75">
        <v>4</v>
      </c>
      <c r="O17" s="77"/>
      <c r="P17" s="21"/>
      <c r="Q17" s="23"/>
      <c r="R17" s="5"/>
      <c r="S17" s="6"/>
      <c r="T17" s="51"/>
      <c r="U17" s="7"/>
      <c r="V17" s="7"/>
    </row>
    <row r="18" spans="1:22" s="2" customFormat="1" ht="35.1" customHeight="1" thickBot="1" x14ac:dyDescent="0.35">
      <c r="A18" s="24">
        <v>12</v>
      </c>
      <c r="B18" s="87" t="s">
        <v>76</v>
      </c>
      <c r="C18" s="74" t="s">
        <v>86</v>
      </c>
      <c r="D18" s="75"/>
      <c r="E18" s="76"/>
      <c r="F18" s="75"/>
      <c r="G18" s="76"/>
      <c r="H18" s="75"/>
      <c r="I18" s="77"/>
      <c r="J18" s="75">
        <v>1</v>
      </c>
      <c r="K18" s="77">
        <v>0.5</v>
      </c>
      <c r="L18" s="75"/>
      <c r="M18" s="77"/>
      <c r="N18" s="75">
        <v>2</v>
      </c>
      <c r="O18" s="77">
        <v>0.5</v>
      </c>
      <c r="P18" s="21"/>
      <c r="Q18" s="23"/>
      <c r="R18" s="5"/>
      <c r="S18" s="6"/>
      <c r="T18" s="51"/>
      <c r="U18" s="7"/>
      <c r="V18" s="7"/>
    </row>
    <row r="19" spans="1:22" s="2" customFormat="1" ht="35.1" customHeight="1" thickBot="1" x14ac:dyDescent="0.35">
      <c r="A19" s="24">
        <v>13</v>
      </c>
      <c r="B19" s="87" t="s">
        <v>93</v>
      </c>
      <c r="C19" s="74" t="s">
        <v>88</v>
      </c>
      <c r="D19" s="75"/>
      <c r="E19" s="76"/>
      <c r="F19" s="75"/>
      <c r="G19" s="76"/>
      <c r="H19" s="75"/>
      <c r="I19" s="77"/>
      <c r="J19" s="75">
        <v>1</v>
      </c>
      <c r="K19" s="77"/>
      <c r="L19" s="75"/>
      <c r="M19" s="77"/>
      <c r="N19" s="75">
        <v>3</v>
      </c>
      <c r="O19" s="77"/>
      <c r="P19" s="21"/>
      <c r="Q19" s="23"/>
      <c r="R19" s="5"/>
      <c r="S19" s="6"/>
      <c r="T19" s="51"/>
      <c r="U19" s="7"/>
      <c r="V19" s="7"/>
    </row>
    <row r="20" spans="1:22" s="2" customFormat="1" ht="35.1" customHeight="1" thickBot="1" x14ac:dyDescent="0.35">
      <c r="A20" s="24">
        <v>14</v>
      </c>
      <c r="B20" s="87" t="s">
        <v>79</v>
      </c>
      <c r="C20" s="74" t="s">
        <v>85</v>
      </c>
      <c r="D20" s="21"/>
      <c r="E20" s="22"/>
      <c r="F20" s="21"/>
      <c r="G20" s="22"/>
      <c r="H20" s="21"/>
      <c r="I20" s="23"/>
      <c r="J20" s="21">
        <v>12</v>
      </c>
      <c r="K20" s="23"/>
      <c r="L20" s="21"/>
      <c r="M20" s="23"/>
      <c r="N20" s="21">
        <v>12</v>
      </c>
      <c r="O20" s="23"/>
      <c r="P20" s="21"/>
      <c r="Q20" s="23"/>
      <c r="R20" s="5"/>
      <c r="S20" s="6"/>
      <c r="T20" s="51"/>
      <c r="U20" s="7"/>
      <c r="V20" s="7"/>
    </row>
    <row r="21" spans="1:22" s="2" customFormat="1" ht="35.1" customHeight="1" thickBot="1" x14ac:dyDescent="0.35">
      <c r="A21" s="24">
        <v>15</v>
      </c>
      <c r="B21" s="87" t="s">
        <v>77</v>
      </c>
      <c r="C21" s="74" t="s">
        <v>87</v>
      </c>
      <c r="D21" s="75"/>
      <c r="E21" s="76"/>
      <c r="F21" s="75"/>
      <c r="G21" s="76"/>
      <c r="H21" s="75"/>
      <c r="I21" s="77"/>
      <c r="J21" s="75">
        <v>2.5</v>
      </c>
      <c r="K21" s="77">
        <v>0.5</v>
      </c>
      <c r="L21" s="75"/>
      <c r="M21" s="77"/>
      <c r="N21" s="75">
        <v>5</v>
      </c>
      <c r="O21" s="77">
        <v>1.5</v>
      </c>
      <c r="P21" s="21"/>
      <c r="Q21" s="23"/>
      <c r="R21" s="5"/>
      <c r="S21" s="6"/>
      <c r="T21" s="51"/>
      <c r="U21" s="7"/>
      <c r="V21" s="7"/>
    </row>
    <row r="22" spans="1:22" s="2" customFormat="1" ht="35.1" customHeight="1" thickBot="1" x14ac:dyDescent="0.35">
      <c r="A22" s="24">
        <v>16</v>
      </c>
      <c r="B22" s="87" t="s">
        <v>71</v>
      </c>
      <c r="C22" s="74" t="s">
        <v>84</v>
      </c>
      <c r="D22" s="75"/>
      <c r="E22" s="76"/>
      <c r="F22" s="75"/>
      <c r="G22" s="76"/>
      <c r="H22" s="75"/>
      <c r="I22" s="77"/>
      <c r="J22" s="75">
        <v>1.5</v>
      </c>
      <c r="K22" s="77"/>
      <c r="L22" s="75"/>
      <c r="M22" s="77"/>
      <c r="N22" s="75">
        <v>1.5</v>
      </c>
      <c r="O22" s="77"/>
      <c r="P22" s="21"/>
      <c r="Q22" s="23"/>
      <c r="R22" s="5"/>
      <c r="S22" s="6"/>
      <c r="T22" s="51"/>
      <c r="U22" s="7"/>
      <c r="V22" s="7"/>
    </row>
    <row r="23" spans="1:22" s="2" customFormat="1" ht="35.1" customHeight="1" thickBot="1" x14ac:dyDescent="0.35">
      <c r="A23" s="24">
        <v>17</v>
      </c>
      <c r="B23" s="55" t="s">
        <v>42</v>
      </c>
      <c r="C23" s="74" t="s">
        <v>91</v>
      </c>
      <c r="D23" s="75"/>
      <c r="E23" s="76"/>
      <c r="F23" s="75"/>
      <c r="G23" s="76"/>
      <c r="H23" s="75"/>
      <c r="I23" s="77"/>
      <c r="J23" s="75">
        <v>1.5</v>
      </c>
      <c r="K23" s="77"/>
      <c r="L23" s="75"/>
      <c r="M23" s="77"/>
      <c r="N23" s="75">
        <v>1.5</v>
      </c>
      <c r="O23" s="77"/>
      <c r="P23" s="21"/>
      <c r="Q23" s="23"/>
      <c r="R23" s="5"/>
      <c r="S23" s="6"/>
      <c r="T23" s="51"/>
      <c r="U23" s="7"/>
      <c r="V23" s="7"/>
    </row>
    <row r="24" spans="1:22" s="2" customFormat="1" ht="35.1" customHeight="1" thickBot="1" x14ac:dyDescent="0.35">
      <c r="A24" s="24">
        <v>18</v>
      </c>
      <c r="B24" s="55" t="s">
        <v>40</v>
      </c>
      <c r="C24" s="74" t="s">
        <v>91</v>
      </c>
      <c r="D24" s="75"/>
      <c r="E24" s="76"/>
      <c r="F24" s="75"/>
      <c r="G24" s="76"/>
      <c r="H24" s="75"/>
      <c r="I24" s="77"/>
      <c r="J24" s="75"/>
      <c r="K24" s="77"/>
      <c r="L24" s="75"/>
      <c r="M24" s="77"/>
      <c r="N24" s="75"/>
      <c r="O24" s="77">
        <v>3</v>
      </c>
      <c r="P24" s="21"/>
      <c r="Q24" s="23"/>
      <c r="R24" s="5"/>
      <c r="S24" s="6"/>
      <c r="T24" s="51"/>
      <c r="U24" s="7"/>
      <c r="V24" s="7"/>
    </row>
    <row r="25" spans="1:22" s="2" customFormat="1" ht="35.1" customHeight="1" thickBot="1" x14ac:dyDescent="0.35">
      <c r="A25" s="24">
        <v>19</v>
      </c>
      <c r="B25" s="55" t="s">
        <v>62</v>
      </c>
      <c r="C25" s="74" t="s">
        <v>91</v>
      </c>
      <c r="D25" s="75"/>
      <c r="E25" s="76"/>
      <c r="F25" s="75"/>
      <c r="G25" s="76"/>
      <c r="H25" s="75"/>
      <c r="I25" s="77"/>
      <c r="J25" s="75"/>
      <c r="K25" s="77">
        <v>0.5</v>
      </c>
      <c r="L25" s="75"/>
      <c r="M25" s="77"/>
      <c r="N25" s="75"/>
      <c r="O25" s="77">
        <v>8</v>
      </c>
      <c r="P25" s="21"/>
      <c r="Q25" s="23"/>
      <c r="R25" s="5"/>
      <c r="S25" s="6"/>
      <c r="T25" s="51"/>
      <c r="U25" s="7"/>
      <c r="V25" s="7"/>
    </row>
    <row r="26" spans="1:22" s="2" customFormat="1" ht="35.1" customHeight="1" thickBot="1" x14ac:dyDescent="0.35">
      <c r="A26" s="24">
        <v>20</v>
      </c>
      <c r="B26" s="55" t="s">
        <v>67</v>
      </c>
      <c r="C26" s="74" t="s">
        <v>86</v>
      </c>
      <c r="D26" s="75">
        <v>3</v>
      </c>
      <c r="E26" s="76"/>
      <c r="F26" s="75"/>
      <c r="G26" s="76"/>
      <c r="H26" s="75"/>
      <c r="I26" s="77"/>
      <c r="J26" s="75">
        <v>3</v>
      </c>
      <c r="K26" s="77"/>
      <c r="L26" s="75"/>
      <c r="M26" s="77"/>
      <c r="N26" s="75">
        <v>3</v>
      </c>
      <c r="O26" s="77"/>
      <c r="P26" s="21"/>
      <c r="Q26" s="23"/>
      <c r="R26" s="5"/>
      <c r="S26" s="6"/>
      <c r="T26" s="51"/>
      <c r="U26" s="7"/>
      <c r="V26" s="7"/>
    </row>
    <row r="27" spans="1:22" s="2" customFormat="1" ht="30" customHeight="1" thickBot="1" x14ac:dyDescent="0.35">
      <c r="A27" s="109" t="s">
        <v>31</v>
      </c>
      <c r="B27" s="110"/>
      <c r="C27" s="25"/>
      <c r="D27" s="26">
        <f t="shared" ref="D27:Q27" si="0">SUM(D7:D26)</f>
        <v>3</v>
      </c>
      <c r="E27" s="26">
        <f t="shared" si="0"/>
        <v>0</v>
      </c>
      <c r="F27" s="26">
        <f t="shared" si="0"/>
        <v>0</v>
      </c>
      <c r="G27" s="26">
        <f t="shared" si="0"/>
        <v>0</v>
      </c>
      <c r="H27" s="26">
        <f t="shared" si="0"/>
        <v>0</v>
      </c>
      <c r="I27" s="26">
        <f t="shared" si="0"/>
        <v>0</v>
      </c>
      <c r="J27" s="26">
        <f t="shared" si="0"/>
        <v>52.5</v>
      </c>
      <c r="K27" s="26">
        <f t="shared" si="0"/>
        <v>9</v>
      </c>
      <c r="L27" s="26">
        <f t="shared" si="0"/>
        <v>0</v>
      </c>
      <c r="M27" s="26">
        <f t="shared" si="0"/>
        <v>0</v>
      </c>
      <c r="N27" s="26">
        <f t="shared" si="0"/>
        <v>77.5</v>
      </c>
      <c r="O27" s="26">
        <f t="shared" si="0"/>
        <v>20.5</v>
      </c>
      <c r="P27" s="26">
        <f t="shared" si="0"/>
        <v>0</v>
      </c>
      <c r="Q27" s="26">
        <f t="shared" si="0"/>
        <v>0</v>
      </c>
      <c r="R27" s="8" t="e">
        <f>SUM(#REF!)</f>
        <v>#REF!</v>
      </c>
      <c r="S27" s="8" t="e">
        <f>SUM(#REF!)</f>
        <v>#REF!</v>
      </c>
      <c r="T27" s="3"/>
      <c r="U27" s="7"/>
      <c r="V27" s="7"/>
    </row>
    <row r="28" spans="1:22" s="2" customFormat="1" ht="30" customHeight="1" thickBot="1" x14ac:dyDescent="0.35">
      <c r="A28" s="109" t="s">
        <v>32</v>
      </c>
      <c r="B28" s="110"/>
      <c r="C28" s="25"/>
      <c r="D28" s="27">
        <f>D27/6</f>
        <v>0.5</v>
      </c>
      <c r="E28" s="27">
        <f>E27/7.5</f>
        <v>0</v>
      </c>
      <c r="F28" s="27">
        <f t="shared" ref="F28" si="1">F27/6</f>
        <v>0</v>
      </c>
      <c r="G28" s="27">
        <f t="shared" ref="G28" si="2">G27/7.5</f>
        <v>0</v>
      </c>
      <c r="H28" s="27">
        <f t="shared" ref="H28" si="3">H27/6</f>
        <v>0</v>
      </c>
      <c r="I28" s="27">
        <f t="shared" ref="I28" si="4">I27/7.5</f>
        <v>0</v>
      </c>
      <c r="J28" s="27">
        <f t="shared" ref="J28" si="5">J27/6</f>
        <v>8.75</v>
      </c>
      <c r="K28" s="27">
        <f t="shared" ref="K28" si="6">K27/7.5</f>
        <v>1.2</v>
      </c>
      <c r="L28" s="27">
        <f t="shared" ref="L28" si="7">L27/6</f>
        <v>0</v>
      </c>
      <c r="M28" s="27">
        <f t="shared" ref="M28" si="8">M27/7.5</f>
        <v>0</v>
      </c>
      <c r="N28" s="27">
        <f t="shared" ref="N28" si="9">N27/6</f>
        <v>12.916666666666666</v>
      </c>
      <c r="O28" s="27">
        <f t="shared" ref="O28" si="10">O27/7.5</f>
        <v>2.7333333333333334</v>
      </c>
      <c r="P28" s="27">
        <f t="shared" ref="P28" si="11">P27/6</f>
        <v>0</v>
      </c>
      <c r="Q28" s="27">
        <f t="shared" ref="Q28" si="12">Q27/7.5</f>
        <v>0</v>
      </c>
      <c r="R28" s="9" t="e">
        <f t="shared" ref="R28" si="13">R27/6</f>
        <v>#REF!</v>
      </c>
      <c r="S28" s="9" t="e">
        <f t="shared" ref="S28" si="14">S27/7.5</f>
        <v>#REF!</v>
      </c>
      <c r="T28" s="3"/>
      <c r="U28" s="7"/>
      <c r="V28" s="7"/>
    </row>
    <row r="29" spans="1:22" s="2" customFormat="1" ht="30" customHeight="1" thickBot="1" x14ac:dyDescent="0.35">
      <c r="A29" s="111" t="s">
        <v>34</v>
      </c>
      <c r="B29" s="112"/>
      <c r="C29" s="28"/>
      <c r="D29" s="113">
        <f>D28+E28</f>
        <v>0.5</v>
      </c>
      <c r="E29" s="114"/>
      <c r="F29" s="115">
        <f t="shared" ref="F29" si="15">F28+G28</f>
        <v>0</v>
      </c>
      <c r="G29" s="114"/>
      <c r="H29" s="115">
        <f t="shared" ref="H29" si="16">H28+I28</f>
        <v>0</v>
      </c>
      <c r="I29" s="114"/>
      <c r="J29" s="113">
        <f t="shared" ref="J29" si="17">J28+K28</f>
        <v>9.9499999999999993</v>
      </c>
      <c r="K29" s="114"/>
      <c r="L29" s="115">
        <f t="shared" ref="L29" si="18">L28+M28</f>
        <v>0</v>
      </c>
      <c r="M29" s="114"/>
      <c r="N29" s="115">
        <f t="shared" ref="N29" si="19">N28+O28</f>
        <v>15.649999999999999</v>
      </c>
      <c r="O29" s="114"/>
      <c r="P29" s="115">
        <f t="shared" ref="P29" si="20">P28+Q28</f>
        <v>0</v>
      </c>
      <c r="Q29" s="114"/>
      <c r="R29" s="116" t="e">
        <f t="shared" ref="R29" si="21">R28+S28</f>
        <v>#REF!</v>
      </c>
      <c r="S29" s="117"/>
      <c r="T29" s="3"/>
      <c r="U29" s="7"/>
      <c r="V29" s="7"/>
    </row>
    <row r="30" spans="1:22" s="2" customFormat="1" ht="18.600000000000001" thickBot="1" x14ac:dyDescent="0.4">
      <c r="A30" s="118" t="s">
        <v>4</v>
      </c>
      <c r="B30" s="119"/>
      <c r="C30" s="118"/>
      <c r="D30" s="122" t="s">
        <v>1</v>
      </c>
      <c r="E30" s="123"/>
      <c r="F30" s="123"/>
      <c r="G30" s="124"/>
      <c r="H30" s="123"/>
      <c r="I30" s="124"/>
      <c r="J30" s="122" t="s">
        <v>33</v>
      </c>
      <c r="K30" s="123"/>
      <c r="L30" s="123"/>
      <c r="M30" s="124"/>
      <c r="N30" s="122" t="s">
        <v>27</v>
      </c>
      <c r="O30" s="123"/>
      <c r="P30" s="123"/>
      <c r="Q30" s="124"/>
      <c r="R30" s="125"/>
      <c r="S30" s="126"/>
      <c r="T30" s="3"/>
      <c r="U30" s="7"/>
      <c r="V30" s="7"/>
    </row>
    <row r="31" spans="1:22" s="2" customFormat="1" ht="22.2" customHeight="1" thickBot="1" x14ac:dyDescent="0.35">
      <c r="A31" s="120"/>
      <c r="B31" s="121"/>
      <c r="C31" s="120"/>
      <c r="D31" s="11" t="s">
        <v>2</v>
      </c>
      <c r="E31" s="12" t="s">
        <v>3</v>
      </c>
      <c r="F31" s="11" t="s">
        <v>2</v>
      </c>
      <c r="G31" s="12" t="s">
        <v>3</v>
      </c>
      <c r="H31" s="13" t="s">
        <v>2</v>
      </c>
      <c r="I31" s="14" t="s">
        <v>3</v>
      </c>
      <c r="J31" s="4" t="s">
        <v>2</v>
      </c>
      <c r="K31" s="15" t="s">
        <v>3</v>
      </c>
      <c r="L31" s="13" t="s">
        <v>2</v>
      </c>
      <c r="M31" s="14" t="s">
        <v>3</v>
      </c>
      <c r="N31" s="4" t="s">
        <v>2</v>
      </c>
      <c r="O31" s="15" t="s">
        <v>3</v>
      </c>
      <c r="P31" s="13" t="s">
        <v>2</v>
      </c>
      <c r="Q31" s="14" t="s">
        <v>3</v>
      </c>
      <c r="R31" s="13" t="s">
        <v>2</v>
      </c>
      <c r="S31" s="14" t="s">
        <v>3</v>
      </c>
      <c r="T31" s="3"/>
      <c r="U31" s="7"/>
      <c r="V31" s="7"/>
    </row>
    <row r="32" spans="1:22" s="38" customFormat="1" ht="39.6" customHeight="1" thickBot="1" x14ac:dyDescent="0.35">
      <c r="A32" s="30">
        <v>1</v>
      </c>
      <c r="B32" s="31" t="s">
        <v>29</v>
      </c>
      <c r="C32" s="32"/>
      <c r="D32" s="33">
        <v>0</v>
      </c>
      <c r="E32" s="34">
        <v>0</v>
      </c>
      <c r="F32" s="33"/>
      <c r="G32" s="34"/>
      <c r="H32" s="33"/>
      <c r="I32" s="35"/>
      <c r="J32" s="33">
        <v>0</v>
      </c>
      <c r="K32" s="35">
        <v>1</v>
      </c>
      <c r="L32" s="33"/>
      <c r="M32" s="35"/>
      <c r="N32" s="33">
        <v>0</v>
      </c>
      <c r="O32" s="35">
        <v>3</v>
      </c>
      <c r="P32" s="33"/>
      <c r="Q32" s="35"/>
      <c r="R32" s="33">
        <v>0</v>
      </c>
      <c r="S32" s="35">
        <v>2</v>
      </c>
      <c r="T32" s="36"/>
      <c r="U32" s="37"/>
      <c r="V32" s="37"/>
    </row>
    <row r="33" spans="1:22" s="38" customFormat="1" ht="30" customHeight="1" thickBot="1" x14ac:dyDescent="0.35">
      <c r="A33" s="39">
        <v>2</v>
      </c>
      <c r="B33" s="31" t="s">
        <v>28</v>
      </c>
      <c r="C33" s="32"/>
      <c r="D33" s="33">
        <v>0</v>
      </c>
      <c r="E33" s="34">
        <v>0</v>
      </c>
      <c r="F33" s="33"/>
      <c r="G33" s="34"/>
      <c r="H33" s="33"/>
      <c r="I33" s="35"/>
      <c r="J33" s="33">
        <v>0</v>
      </c>
      <c r="K33" s="35">
        <v>0</v>
      </c>
      <c r="L33" s="33"/>
      <c r="M33" s="35"/>
      <c r="N33" s="33">
        <v>0</v>
      </c>
      <c r="O33" s="35"/>
      <c r="P33" s="33"/>
      <c r="Q33" s="35"/>
      <c r="R33" s="33">
        <v>0</v>
      </c>
      <c r="S33" s="35">
        <v>3</v>
      </c>
      <c r="T33" s="36"/>
      <c r="U33" s="37"/>
      <c r="V33" s="37"/>
    </row>
    <row r="34" spans="1:22" s="38" customFormat="1" ht="30" customHeight="1" thickBot="1" x14ac:dyDescent="0.35">
      <c r="A34" s="39">
        <v>3</v>
      </c>
      <c r="B34" s="31" t="s">
        <v>5</v>
      </c>
      <c r="C34" s="32"/>
      <c r="D34" s="33">
        <v>0</v>
      </c>
      <c r="E34" s="34">
        <v>0</v>
      </c>
      <c r="F34" s="33"/>
      <c r="G34" s="34"/>
      <c r="H34" s="33"/>
      <c r="I34" s="35"/>
      <c r="J34" s="33">
        <v>0</v>
      </c>
      <c r="K34" s="35">
        <v>0.5</v>
      </c>
      <c r="L34" s="33"/>
      <c r="M34" s="35"/>
      <c r="N34" s="33">
        <v>0</v>
      </c>
      <c r="O34" s="35">
        <v>0.5</v>
      </c>
      <c r="P34" s="33"/>
      <c r="Q34" s="35"/>
      <c r="R34" s="33">
        <v>0</v>
      </c>
      <c r="S34" s="35">
        <v>1.5</v>
      </c>
      <c r="T34" s="36"/>
      <c r="U34" s="37"/>
      <c r="V34" s="37"/>
    </row>
    <row r="35" spans="1:22" s="38" customFormat="1" ht="30" customHeight="1" thickBot="1" x14ac:dyDescent="0.35">
      <c r="A35" s="40">
        <v>4</v>
      </c>
      <c r="B35" s="31" t="s">
        <v>6</v>
      </c>
      <c r="C35" s="32"/>
      <c r="D35" s="33">
        <v>0</v>
      </c>
      <c r="E35" s="34">
        <v>0</v>
      </c>
      <c r="F35" s="33"/>
      <c r="G35" s="34"/>
      <c r="H35" s="33"/>
      <c r="I35" s="35"/>
      <c r="J35" s="33">
        <v>0</v>
      </c>
      <c r="K35" s="35">
        <v>0.5</v>
      </c>
      <c r="L35" s="33"/>
      <c r="M35" s="35"/>
      <c r="N35" s="33">
        <v>0</v>
      </c>
      <c r="O35" s="35">
        <v>0.5</v>
      </c>
      <c r="P35" s="33"/>
      <c r="Q35" s="35"/>
      <c r="R35" s="33">
        <v>0</v>
      </c>
      <c r="S35" s="35">
        <v>0.5</v>
      </c>
      <c r="T35" s="36"/>
      <c r="U35" s="37"/>
      <c r="V35" s="37"/>
    </row>
    <row r="36" spans="1:22" s="38" customFormat="1" ht="30" customHeight="1" thickBot="1" x14ac:dyDescent="0.35">
      <c r="A36" s="39">
        <v>5</v>
      </c>
      <c r="B36" s="31" t="s">
        <v>22</v>
      </c>
      <c r="C36" s="32"/>
      <c r="D36" s="33">
        <v>0</v>
      </c>
      <c r="E36" s="34">
        <v>0</v>
      </c>
      <c r="F36" s="33"/>
      <c r="G36" s="34"/>
      <c r="H36" s="33"/>
      <c r="I36" s="35"/>
      <c r="J36" s="33">
        <v>0</v>
      </c>
      <c r="K36" s="35">
        <v>1</v>
      </c>
      <c r="L36" s="33"/>
      <c r="M36" s="35"/>
      <c r="N36" s="33">
        <v>0</v>
      </c>
      <c r="O36" s="35"/>
      <c r="P36" s="33"/>
      <c r="Q36" s="35"/>
      <c r="R36" s="33">
        <v>0</v>
      </c>
      <c r="S36" s="35">
        <v>1</v>
      </c>
      <c r="T36" s="36"/>
      <c r="U36" s="37"/>
      <c r="V36" s="37"/>
    </row>
    <row r="37" spans="1:22" s="38" customFormat="1" ht="36" customHeight="1" thickBot="1" x14ac:dyDescent="0.35">
      <c r="A37" s="40">
        <v>6</v>
      </c>
      <c r="B37" s="31" t="s">
        <v>30</v>
      </c>
      <c r="C37" s="32"/>
      <c r="D37" s="33">
        <v>0</v>
      </c>
      <c r="E37" s="34">
        <v>0</v>
      </c>
      <c r="F37" s="33"/>
      <c r="G37" s="34"/>
      <c r="H37" s="33"/>
      <c r="I37" s="35"/>
      <c r="J37" s="33">
        <v>0</v>
      </c>
      <c r="K37" s="35">
        <v>0</v>
      </c>
      <c r="L37" s="33"/>
      <c r="M37" s="35"/>
      <c r="N37" s="33">
        <v>0</v>
      </c>
      <c r="O37" s="35">
        <v>0</v>
      </c>
      <c r="P37" s="33"/>
      <c r="Q37" s="35"/>
      <c r="R37" s="33">
        <v>0</v>
      </c>
      <c r="S37" s="35">
        <v>0</v>
      </c>
      <c r="T37" s="36"/>
      <c r="U37" s="37"/>
      <c r="V37" s="37"/>
    </row>
    <row r="38" spans="1:22" s="38" customFormat="1" ht="30" customHeight="1" thickBot="1" x14ac:dyDescent="0.35">
      <c r="A38" s="39">
        <v>7</v>
      </c>
      <c r="B38" s="31" t="s">
        <v>23</v>
      </c>
      <c r="C38" s="32"/>
      <c r="D38" s="33">
        <v>0</v>
      </c>
      <c r="E38" s="34">
        <v>0</v>
      </c>
      <c r="F38" s="33"/>
      <c r="G38" s="34"/>
      <c r="H38" s="33"/>
      <c r="I38" s="35"/>
      <c r="J38" s="33">
        <v>0</v>
      </c>
      <c r="K38" s="35">
        <v>1</v>
      </c>
      <c r="L38" s="33"/>
      <c r="M38" s="35"/>
      <c r="N38" s="33">
        <v>0</v>
      </c>
      <c r="O38" s="35"/>
      <c r="P38" s="33"/>
      <c r="Q38" s="35"/>
      <c r="R38" s="33">
        <v>0</v>
      </c>
      <c r="S38" s="35">
        <v>4</v>
      </c>
      <c r="T38" s="36"/>
      <c r="U38" s="37"/>
      <c r="V38" s="37"/>
    </row>
    <row r="39" spans="1:22" s="38" customFormat="1" ht="30" customHeight="1" thickBot="1" x14ac:dyDescent="0.35">
      <c r="A39" s="40">
        <v>8</v>
      </c>
      <c r="B39" s="31" t="s">
        <v>26</v>
      </c>
      <c r="C39" s="32"/>
      <c r="D39" s="33">
        <v>0</v>
      </c>
      <c r="E39" s="34">
        <v>0</v>
      </c>
      <c r="F39" s="33"/>
      <c r="G39" s="34"/>
      <c r="H39" s="33"/>
      <c r="I39" s="35"/>
      <c r="J39" s="33">
        <v>0</v>
      </c>
      <c r="K39" s="35">
        <v>0</v>
      </c>
      <c r="L39" s="33"/>
      <c r="M39" s="35"/>
      <c r="N39" s="33">
        <v>0</v>
      </c>
      <c r="O39" s="35">
        <v>0.5</v>
      </c>
      <c r="P39" s="33"/>
      <c r="Q39" s="35"/>
      <c r="R39" s="33">
        <v>0</v>
      </c>
      <c r="S39" s="35">
        <v>0.5</v>
      </c>
      <c r="T39" s="36"/>
      <c r="U39" s="37"/>
      <c r="V39" s="37"/>
    </row>
    <row r="40" spans="1:22" s="38" customFormat="1" ht="36" customHeight="1" thickBot="1" x14ac:dyDescent="0.35">
      <c r="A40" s="39">
        <v>9</v>
      </c>
      <c r="B40" s="31" t="s">
        <v>24</v>
      </c>
      <c r="C40" s="32"/>
      <c r="D40" s="33">
        <v>0</v>
      </c>
      <c r="E40" s="34">
        <v>0</v>
      </c>
      <c r="F40" s="33"/>
      <c r="G40" s="34"/>
      <c r="H40" s="33"/>
      <c r="I40" s="35"/>
      <c r="J40" s="33">
        <v>0</v>
      </c>
      <c r="K40" s="35">
        <v>0</v>
      </c>
      <c r="L40" s="33"/>
      <c r="M40" s="35"/>
      <c r="N40" s="33">
        <v>0</v>
      </c>
      <c r="O40" s="35">
        <v>0.5</v>
      </c>
      <c r="P40" s="33"/>
      <c r="Q40" s="35"/>
      <c r="R40" s="33">
        <v>0</v>
      </c>
      <c r="S40" s="35">
        <v>0.5</v>
      </c>
      <c r="T40" s="36"/>
      <c r="U40" s="37"/>
      <c r="V40" s="37"/>
    </row>
    <row r="41" spans="1:22" s="38" customFormat="1" ht="30" customHeight="1" thickBot="1" x14ac:dyDescent="0.35">
      <c r="A41" s="40">
        <v>10</v>
      </c>
      <c r="B41" s="31" t="s">
        <v>7</v>
      </c>
      <c r="C41" s="32"/>
      <c r="D41" s="33">
        <v>0</v>
      </c>
      <c r="E41" s="34">
        <v>0</v>
      </c>
      <c r="F41" s="33"/>
      <c r="G41" s="34"/>
      <c r="H41" s="33"/>
      <c r="I41" s="35"/>
      <c r="J41" s="33">
        <v>0</v>
      </c>
      <c r="K41" s="35">
        <v>0</v>
      </c>
      <c r="L41" s="33"/>
      <c r="M41" s="35"/>
      <c r="N41" s="33">
        <v>0</v>
      </c>
      <c r="O41" s="35">
        <v>0</v>
      </c>
      <c r="P41" s="33"/>
      <c r="Q41" s="35"/>
      <c r="R41" s="33">
        <v>0</v>
      </c>
      <c r="S41" s="35">
        <v>0</v>
      </c>
      <c r="T41" s="36"/>
      <c r="U41" s="36"/>
      <c r="V41" s="36"/>
    </row>
    <row r="42" spans="1:22" s="49" customFormat="1" ht="30" customHeight="1" thickBot="1" x14ac:dyDescent="0.35">
      <c r="A42" s="109" t="s">
        <v>16</v>
      </c>
      <c r="B42" s="127"/>
      <c r="C42" s="48"/>
      <c r="D42" s="41">
        <f t="shared" ref="D42:S42" si="22">SUM(D32:D41)</f>
        <v>0</v>
      </c>
      <c r="E42" s="41">
        <f t="shared" si="22"/>
        <v>0</v>
      </c>
      <c r="F42" s="41">
        <f t="shared" si="22"/>
        <v>0</v>
      </c>
      <c r="G42" s="41">
        <f t="shared" si="22"/>
        <v>0</v>
      </c>
      <c r="H42" s="41">
        <f t="shared" si="22"/>
        <v>0</v>
      </c>
      <c r="I42" s="41">
        <f t="shared" si="22"/>
        <v>0</v>
      </c>
      <c r="J42" s="41">
        <f t="shared" si="22"/>
        <v>0</v>
      </c>
      <c r="K42" s="41">
        <f t="shared" si="22"/>
        <v>4</v>
      </c>
      <c r="L42" s="41">
        <f t="shared" si="22"/>
        <v>0</v>
      </c>
      <c r="M42" s="41">
        <f t="shared" si="22"/>
        <v>0</v>
      </c>
      <c r="N42" s="41">
        <f t="shared" si="22"/>
        <v>0</v>
      </c>
      <c r="O42" s="41">
        <f t="shared" si="22"/>
        <v>5</v>
      </c>
      <c r="P42" s="41">
        <f t="shared" si="22"/>
        <v>0</v>
      </c>
      <c r="Q42" s="41">
        <f t="shared" si="22"/>
        <v>0</v>
      </c>
      <c r="R42" s="41">
        <f t="shared" si="22"/>
        <v>0</v>
      </c>
      <c r="S42" s="41">
        <f t="shared" si="22"/>
        <v>13</v>
      </c>
      <c r="T42" s="42"/>
      <c r="U42" s="42"/>
      <c r="V42" s="42"/>
    </row>
    <row r="43" spans="1:22" s="49" customFormat="1" ht="30" customHeight="1" thickBot="1" x14ac:dyDescent="0.35">
      <c r="A43" s="109" t="s">
        <v>17</v>
      </c>
      <c r="B43" s="110"/>
      <c r="C43" s="25"/>
      <c r="D43" s="27">
        <f>D42/6</f>
        <v>0</v>
      </c>
      <c r="E43" s="27">
        <f>E42/7.5</f>
        <v>0</v>
      </c>
      <c r="F43" s="27">
        <f t="shared" ref="F43" si="23">F42/6</f>
        <v>0</v>
      </c>
      <c r="G43" s="27">
        <f t="shared" ref="G43" si="24">G42/7.5</f>
        <v>0</v>
      </c>
      <c r="H43" s="27">
        <f t="shared" ref="H43" si="25">H42/6</f>
        <v>0</v>
      </c>
      <c r="I43" s="27">
        <f t="shared" ref="I43" si="26">I42/7.5</f>
        <v>0</v>
      </c>
      <c r="J43" s="27">
        <f t="shared" ref="J43" si="27">J42/6</f>
        <v>0</v>
      </c>
      <c r="K43" s="27">
        <f t="shared" ref="K43" si="28">K42/7.5</f>
        <v>0.53333333333333333</v>
      </c>
      <c r="L43" s="27">
        <f t="shared" ref="L43" si="29">L42/6</f>
        <v>0</v>
      </c>
      <c r="M43" s="27">
        <f t="shared" ref="M43" si="30">M42/7.5</f>
        <v>0</v>
      </c>
      <c r="N43" s="27">
        <f t="shared" ref="N43" si="31">N42/6</f>
        <v>0</v>
      </c>
      <c r="O43" s="27">
        <f t="shared" ref="O43" si="32">O42/7.5</f>
        <v>0.66666666666666663</v>
      </c>
      <c r="P43" s="27">
        <f t="shared" ref="P43" si="33">P42/6</f>
        <v>0</v>
      </c>
      <c r="Q43" s="27">
        <f t="shared" ref="Q43" si="34">Q42/7.5</f>
        <v>0</v>
      </c>
      <c r="R43" s="27">
        <f t="shared" ref="R43" si="35">R42/6</f>
        <v>0</v>
      </c>
      <c r="S43" s="27">
        <f t="shared" ref="S43" si="36">S42/7.5</f>
        <v>1.7333333333333334</v>
      </c>
      <c r="T43" s="42"/>
      <c r="U43" s="42"/>
      <c r="V43" s="42"/>
    </row>
    <row r="44" spans="1:22" s="49" customFormat="1" ht="30" customHeight="1" thickBot="1" x14ac:dyDescent="0.35">
      <c r="A44" s="111" t="s">
        <v>35</v>
      </c>
      <c r="B44" s="112"/>
      <c r="C44" s="28"/>
      <c r="D44" s="113">
        <f>D43+E43</f>
        <v>0</v>
      </c>
      <c r="E44" s="114"/>
      <c r="F44" s="115">
        <f t="shared" ref="F44" si="37">F43+G43</f>
        <v>0</v>
      </c>
      <c r="G44" s="114"/>
      <c r="H44" s="115">
        <f t="shared" ref="H44" si="38">H43+I43</f>
        <v>0</v>
      </c>
      <c r="I44" s="114"/>
      <c r="J44" s="113">
        <f t="shared" ref="J44" si="39">J43+K43</f>
        <v>0.53333333333333333</v>
      </c>
      <c r="K44" s="114"/>
      <c r="L44" s="115">
        <f t="shared" ref="L44" si="40">L43+M43</f>
        <v>0</v>
      </c>
      <c r="M44" s="114"/>
      <c r="N44" s="115">
        <f t="shared" ref="N44" si="41">N43+O43</f>
        <v>0.66666666666666663</v>
      </c>
      <c r="O44" s="114"/>
      <c r="P44" s="115">
        <f t="shared" ref="P44" si="42">P43+Q43</f>
        <v>0</v>
      </c>
      <c r="Q44" s="114"/>
      <c r="R44" s="115">
        <f t="shared" ref="R44" si="43">R43+S43</f>
        <v>1.7333333333333334</v>
      </c>
      <c r="S44" s="114"/>
      <c r="T44" s="42"/>
      <c r="U44" s="42"/>
      <c r="V44" s="42"/>
    </row>
    <row r="45" spans="1:22" s="50" customFormat="1" ht="30" customHeight="1" thickBot="1" x14ac:dyDescent="0.35">
      <c r="A45" s="131" t="s">
        <v>13</v>
      </c>
      <c r="B45" s="132"/>
      <c r="C45" s="26"/>
      <c r="D45" s="41">
        <f>SUM(D27,D42)</f>
        <v>3</v>
      </c>
      <c r="E45" s="41">
        <f t="shared" ref="E45:Q45" si="44">SUM(E27,E42)</f>
        <v>0</v>
      </c>
      <c r="F45" s="41">
        <f t="shared" si="44"/>
        <v>0</v>
      </c>
      <c r="G45" s="41">
        <f t="shared" si="44"/>
        <v>0</v>
      </c>
      <c r="H45" s="41">
        <f t="shared" si="44"/>
        <v>0</v>
      </c>
      <c r="I45" s="41">
        <f t="shared" si="44"/>
        <v>0</v>
      </c>
      <c r="J45" s="41">
        <f t="shared" si="44"/>
        <v>52.5</v>
      </c>
      <c r="K45" s="41">
        <f t="shared" si="44"/>
        <v>13</v>
      </c>
      <c r="L45" s="41">
        <f t="shared" si="44"/>
        <v>0</v>
      </c>
      <c r="M45" s="41">
        <f t="shared" si="44"/>
        <v>0</v>
      </c>
      <c r="N45" s="41">
        <f t="shared" si="44"/>
        <v>77.5</v>
      </c>
      <c r="O45" s="41">
        <f t="shared" si="44"/>
        <v>25.5</v>
      </c>
      <c r="P45" s="41">
        <f t="shared" si="44"/>
        <v>0</v>
      </c>
      <c r="Q45" s="41">
        <f t="shared" si="44"/>
        <v>0</v>
      </c>
      <c r="R45" s="17" t="e">
        <f>SUM(R27,#REF!,R42)</f>
        <v>#REF!</v>
      </c>
      <c r="S45" s="17" t="e">
        <f>SUM(S27,#REF!,S42)</f>
        <v>#REF!</v>
      </c>
      <c r="T45" s="3"/>
      <c r="U45" s="3"/>
      <c r="V45" s="3"/>
    </row>
    <row r="46" spans="1:22" s="50" customFormat="1" ht="30" customHeight="1" thickBot="1" x14ac:dyDescent="0.35">
      <c r="A46" s="131" t="s">
        <v>15</v>
      </c>
      <c r="B46" s="132"/>
      <c r="C46" s="26"/>
      <c r="D46" s="27">
        <f>D45/6</f>
        <v>0.5</v>
      </c>
      <c r="E46" s="43">
        <f>E45/7.5</f>
        <v>0</v>
      </c>
      <c r="F46" s="27">
        <f t="shared" ref="F46" si="45">F45/6</f>
        <v>0</v>
      </c>
      <c r="G46" s="43">
        <f t="shared" ref="G46" si="46">G45/7.5</f>
        <v>0</v>
      </c>
      <c r="H46" s="27">
        <f t="shared" ref="H46" si="47">H45/6</f>
        <v>0</v>
      </c>
      <c r="I46" s="43">
        <f t="shared" ref="I46" si="48">I45/7.5</f>
        <v>0</v>
      </c>
      <c r="J46" s="27">
        <f t="shared" ref="J46" si="49">J45/6</f>
        <v>8.75</v>
      </c>
      <c r="K46" s="43">
        <f t="shared" ref="K46" si="50">K45/7.5</f>
        <v>1.7333333333333334</v>
      </c>
      <c r="L46" s="27">
        <f t="shared" ref="L46" si="51">L45/6</f>
        <v>0</v>
      </c>
      <c r="M46" s="43">
        <f t="shared" ref="M46" si="52">M45/7.5</f>
        <v>0</v>
      </c>
      <c r="N46" s="27">
        <f t="shared" ref="N46" si="53">N45/6</f>
        <v>12.916666666666666</v>
      </c>
      <c r="O46" s="43">
        <f t="shared" ref="O46" si="54">O45/7.5</f>
        <v>3.4</v>
      </c>
      <c r="P46" s="27">
        <f t="shared" ref="P46" si="55">P45/6</f>
        <v>0</v>
      </c>
      <c r="Q46" s="43">
        <f t="shared" ref="Q46" si="56">Q45/7.5</f>
        <v>0</v>
      </c>
      <c r="R46" s="9" t="e">
        <f t="shared" ref="R46" si="57">R45/6</f>
        <v>#REF!</v>
      </c>
      <c r="S46" s="18" t="e">
        <f t="shared" ref="S46" si="58">S45/7.5</f>
        <v>#REF!</v>
      </c>
      <c r="T46" s="3"/>
      <c r="U46" s="3"/>
      <c r="V46" s="3"/>
    </row>
    <row r="47" spans="1:22" s="50" customFormat="1" ht="30" customHeight="1" thickBot="1" x14ac:dyDescent="0.35">
      <c r="A47" s="122" t="s">
        <v>36</v>
      </c>
      <c r="B47" s="123"/>
      <c r="C47" s="10"/>
      <c r="D47" s="130">
        <f>D46+E46</f>
        <v>0.5</v>
      </c>
      <c r="E47" s="129"/>
      <c r="F47" s="128">
        <f t="shared" ref="F47" si="59">F46+G46</f>
        <v>0</v>
      </c>
      <c r="G47" s="129"/>
      <c r="H47" s="128">
        <f t="shared" ref="H47" si="60">H46+I46</f>
        <v>0</v>
      </c>
      <c r="I47" s="129"/>
      <c r="J47" s="130">
        <f t="shared" ref="J47" si="61">J46+K46</f>
        <v>10.483333333333334</v>
      </c>
      <c r="K47" s="129"/>
      <c r="L47" s="128">
        <f t="shared" ref="L47" si="62">L46+M46</f>
        <v>0</v>
      </c>
      <c r="M47" s="129"/>
      <c r="N47" s="128">
        <f t="shared" ref="N47" si="63">N46+O46</f>
        <v>16.316666666666666</v>
      </c>
      <c r="O47" s="129"/>
      <c r="P47" s="128">
        <f t="shared" ref="P47" si="64">P46+Q46</f>
        <v>0</v>
      </c>
      <c r="Q47" s="129"/>
      <c r="R47" s="138" t="e">
        <f t="shared" ref="R47" si="65">R46+S46</f>
        <v>#REF!</v>
      </c>
      <c r="S47" s="139"/>
      <c r="T47" s="3"/>
      <c r="U47" s="3"/>
      <c r="V47" s="3"/>
    </row>
    <row r="48" spans="1:22" s="50" customFormat="1" ht="30" customHeight="1" thickBot="1" x14ac:dyDescent="0.35">
      <c r="A48" s="135" t="s">
        <v>8</v>
      </c>
      <c r="B48" s="137"/>
      <c r="C48" s="44"/>
      <c r="D48" s="46"/>
      <c r="E48" s="46"/>
      <c r="F48" s="45"/>
      <c r="G48" s="46"/>
      <c r="H48" s="45"/>
      <c r="I48" s="46"/>
      <c r="J48" s="29"/>
      <c r="K48" s="47"/>
      <c r="L48" s="45"/>
      <c r="M48" s="46"/>
      <c r="N48" s="45"/>
      <c r="O48" s="46"/>
      <c r="P48" s="45"/>
      <c r="Q48" s="46"/>
      <c r="R48" s="20">
        <v>0</v>
      </c>
      <c r="S48" s="19">
        <v>0</v>
      </c>
      <c r="T48" s="3"/>
      <c r="U48" s="3"/>
      <c r="V48" s="3"/>
    </row>
    <row r="49" spans="1:22" s="50" customFormat="1" ht="30" customHeight="1" thickBot="1" x14ac:dyDescent="0.35">
      <c r="A49" s="135" t="s">
        <v>9</v>
      </c>
      <c r="B49" s="136"/>
      <c r="C49" s="44"/>
      <c r="D49" s="113"/>
      <c r="E49" s="114"/>
      <c r="F49" s="113"/>
      <c r="G49" s="114"/>
      <c r="H49" s="113"/>
      <c r="I49" s="114"/>
      <c r="J49" s="113"/>
      <c r="K49" s="114"/>
      <c r="L49" s="113"/>
      <c r="M49" s="114"/>
      <c r="N49" s="113"/>
      <c r="O49" s="114"/>
      <c r="P49" s="113"/>
      <c r="Q49" s="114"/>
      <c r="R49" s="133">
        <f>R48+S48</f>
        <v>0</v>
      </c>
      <c r="S49" s="134"/>
      <c r="T49" s="3"/>
      <c r="U49" s="3"/>
      <c r="V49" s="3"/>
    </row>
    <row r="50" spans="1:22" s="50" customFormat="1" ht="30" customHeight="1" thickBot="1" x14ac:dyDescent="0.35">
      <c r="A50" s="135" t="s">
        <v>10</v>
      </c>
      <c r="B50" s="136"/>
      <c r="C50" s="44"/>
      <c r="D50" s="113">
        <f>SUM(D47+D49)</f>
        <v>0.5</v>
      </c>
      <c r="E50" s="114"/>
      <c r="F50" s="115">
        <f>SUM(F47+F49)</f>
        <v>0</v>
      </c>
      <c r="G50" s="114"/>
      <c r="H50" s="115">
        <f>SUM(H47+H49)</f>
        <v>0</v>
      </c>
      <c r="I50" s="114"/>
      <c r="J50" s="113">
        <f>SUM(J47+J49)</f>
        <v>10.483333333333334</v>
      </c>
      <c r="K50" s="114"/>
      <c r="L50" s="115">
        <f>SUM(L47+L49)</f>
        <v>0</v>
      </c>
      <c r="M50" s="114"/>
      <c r="N50" s="115">
        <f>SUM(N47+N49)</f>
        <v>16.316666666666666</v>
      </c>
      <c r="O50" s="114"/>
      <c r="P50" s="115">
        <f>SUM(P47+P49)</f>
        <v>0</v>
      </c>
      <c r="Q50" s="114"/>
      <c r="R50" s="138" t="e">
        <f>SUM(R47+R49)</f>
        <v>#REF!</v>
      </c>
      <c r="S50" s="139"/>
      <c r="T50" s="3"/>
      <c r="U50" s="3"/>
      <c r="V50" s="3"/>
    </row>
    <row r="51" spans="1:22" s="50" customFormat="1" ht="30" customHeight="1" thickBot="1" x14ac:dyDescent="0.35">
      <c r="A51" s="135" t="s">
        <v>11</v>
      </c>
      <c r="B51" s="136"/>
      <c r="C51" s="44"/>
      <c r="D51" s="135">
        <v>24</v>
      </c>
      <c r="E51" s="137"/>
      <c r="F51" s="135"/>
      <c r="G51" s="137"/>
      <c r="H51" s="135">
        <v>25</v>
      </c>
      <c r="I51" s="137"/>
      <c r="J51" s="135">
        <v>24</v>
      </c>
      <c r="K51" s="137"/>
      <c r="L51" s="135">
        <v>25</v>
      </c>
      <c r="M51" s="137"/>
      <c r="N51" s="135">
        <v>24</v>
      </c>
      <c r="O51" s="137"/>
      <c r="P51" s="135">
        <v>25</v>
      </c>
      <c r="Q51" s="137"/>
      <c r="R51" s="133">
        <v>21</v>
      </c>
      <c r="S51" s="134"/>
      <c r="T51" s="3"/>
      <c r="U51" s="3"/>
      <c r="V51" s="3"/>
    </row>
    <row r="52" spans="1:22" s="50" customFormat="1" ht="30" customHeight="1" thickBot="1" x14ac:dyDescent="0.35">
      <c r="A52" s="135" t="s">
        <v>25</v>
      </c>
      <c r="B52" s="136"/>
      <c r="C52" s="44"/>
      <c r="D52" s="135"/>
      <c r="E52" s="137"/>
      <c r="F52" s="136">
        <v>21</v>
      </c>
      <c r="G52" s="137"/>
      <c r="H52" s="136">
        <v>21</v>
      </c>
      <c r="I52" s="137"/>
      <c r="J52" s="135"/>
      <c r="K52" s="137"/>
      <c r="L52" s="136">
        <v>21</v>
      </c>
      <c r="M52" s="137"/>
      <c r="N52" s="136"/>
      <c r="O52" s="137"/>
      <c r="P52" s="136">
        <v>21</v>
      </c>
      <c r="Q52" s="137"/>
      <c r="R52" s="133">
        <v>21</v>
      </c>
      <c r="S52" s="134"/>
      <c r="T52" s="3"/>
      <c r="U52" s="3"/>
      <c r="V52" s="3"/>
    </row>
    <row r="53" spans="1:22" s="50" customFormat="1" ht="30" customHeight="1" thickBot="1" x14ac:dyDescent="0.35">
      <c r="A53" s="135" t="s">
        <v>12</v>
      </c>
      <c r="B53" s="136"/>
      <c r="C53" s="44"/>
      <c r="D53" s="113">
        <f>D51-D50-D52</f>
        <v>23.5</v>
      </c>
      <c r="E53" s="114"/>
      <c r="F53" s="115">
        <f t="shared" ref="F53" si="66">F51-F50-F52</f>
        <v>-21</v>
      </c>
      <c r="G53" s="114"/>
      <c r="H53" s="115">
        <f t="shared" ref="H53" si="67">H51-H50-H52</f>
        <v>4</v>
      </c>
      <c r="I53" s="114"/>
      <c r="J53" s="113">
        <f t="shared" ref="J53" si="68">J51-J50-J52</f>
        <v>13.516666666666666</v>
      </c>
      <c r="K53" s="114"/>
      <c r="L53" s="115">
        <f t="shared" ref="L53" si="69">L51-L50-L52</f>
        <v>4</v>
      </c>
      <c r="M53" s="114"/>
      <c r="N53" s="115">
        <f t="shared" ref="N53" si="70">N51-N50-N52</f>
        <v>7.6833333333333336</v>
      </c>
      <c r="O53" s="114"/>
      <c r="P53" s="115">
        <f t="shared" ref="P53" si="71">P51-P50-P52</f>
        <v>4</v>
      </c>
      <c r="Q53" s="114"/>
      <c r="R53" s="138" t="e">
        <f>R51-R50</f>
        <v>#REF!</v>
      </c>
      <c r="S53" s="139"/>
      <c r="T53" s="3"/>
      <c r="U53" s="3"/>
      <c r="V53" s="3"/>
    </row>
  </sheetData>
  <mergeCells count="105">
    <mergeCell ref="A2:Q2"/>
    <mergeCell ref="A3:Q3"/>
    <mergeCell ref="D4:G4"/>
    <mergeCell ref="H4:I4"/>
    <mergeCell ref="J4:M4"/>
    <mergeCell ref="N4:Q4"/>
    <mergeCell ref="R4:S4"/>
    <mergeCell ref="T5:V5"/>
    <mergeCell ref="A27:B27"/>
    <mergeCell ref="P5:Q5"/>
    <mergeCell ref="R5:S5"/>
    <mergeCell ref="A28:B28"/>
    <mergeCell ref="A29:B29"/>
    <mergeCell ref="D29:E29"/>
    <mergeCell ref="F29:G29"/>
    <mergeCell ref="H29:I29"/>
    <mergeCell ref="J29:K29"/>
    <mergeCell ref="L29:M29"/>
    <mergeCell ref="N29:O29"/>
    <mergeCell ref="J5:K5"/>
    <mergeCell ref="L5:M5"/>
    <mergeCell ref="N5:O5"/>
    <mergeCell ref="A5:A6"/>
    <mergeCell ref="B5:B6"/>
    <mergeCell ref="C5:C6"/>
    <mergeCell ref="D5:E5"/>
    <mergeCell ref="F5:G5"/>
    <mergeCell ref="H5:I5"/>
    <mergeCell ref="A42:B42"/>
    <mergeCell ref="A43:B43"/>
    <mergeCell ref="A44:B44"/>
    <mergeCell ref="D44:E44"/>
    <mergeCell ref="F44:G44"/>
    <mergeCell ref="H44:I44"/>
    <mergeCell ref="P29:Q29"/>
    <mergeCell ref="R29:S29"/>
    <mergeCell ref="A30:B31"/>
    <mergeCell ref="C30:C31"/>
    <mergeCell ref="D30:G30"/>
    <mergeCell ref="H30:I30"/>
    <mergeCell ref="J30:M30"/>
    <mergeCell ref="N30:Q30"/>
    <mergeCell ref="R30:S30"/>
    <mergeCell ref="P47:Q47"/>
    <mergeCell ref="R47:S47"/>
    <mergeCell ref="A45:B45"/>
    <mergeCell ref="A46:B46"/>
    <mergeCell ref="A47:B47"/>
    <mergeCell ref="D47:E47"/>
    <mergeCell ref="F47:G47"/>
    <mergeCell ref="H47:I47"/>
    <mergeCell ref="J44:K44"/>
    <mergeCell ref="L44:M44"/>
    <mergeCell ref="N44:O44"/>
    <mergeCell ref="P44:Q44"/>
    <mergeCell ref="R44:S44"/>
    <mergeCell ref="A48:B48"/>
    <mergeCell ref="A49:B49"/>
    <mergeCell ref="D49:E49"/>
    <mergeCell ref="F49:G49"/>
    <mergeCell ref="H49:I49"/>
    <mergeCell ref="J49:K49"/>
    <mergeCell ref="J47:K47"/>
    <mergeCell ref="L47:M47"/>
    <mergeCell ref="N47:O47"/>
    <mergeCell ref="L49:M49"/>
    <mergeCell ref="N49:O49"/>
    <mergeCell ref="P49:Q49"/>
    <mergeCell ref="R49:S49"/>
    <mergeCell ref="A50:B50"/>
    <mergeCell ref="D50:E50"/>
    <mergeCell ref="F50:G50"/>
    <mergeCell ref="H50:I50"/>
    <mergeCell ref="J50:K50"/>
    <mergeCell ref="L50:M50"/>
    <mergeCell ref="N50:O50"/>
    <mergeCell ref="P50:Q50"/>
    <mergeCell ref="R50:S50"/>
    <mergeCell ref="A51:B51"/>
    <mergeCell ref="D51:E51"/>
    <mergeCell ref="F51:G51"/>
    <mergeCell ref="H51:I51"/>
    <mergeCell ref="J51:K51"/>
    <mergeCell ref="L51:M51"/>
    <mergeCell ref="N51:O51"/>
    <mergeCell ref="P51:Q51"/>
    <mergeCell ref="R51:S51"/>
    <mergeCell ref="A52:B52"/>
    <mergeCell ref="D52:E52"/>
    <mergeCell ref="F52:G52"/>
    <mergeCell ref="H52:I52"/>
    <mergeCell ref="J52:K52"/>
    <mergeCell ref="L53:M53"/>
    <mergeCell ref="N53:O53"/>
    <mergeCell ref="P53:Q53"/>
    <mergeCell ref="R53:S53"/>
    <mergeCell ref="L52:M52"/>
    <mergeCell ref="N52:O52"/>
    <mergeCell ref="P52:Q52"/>
    <mergeCell ref="R52:S52"/>
    <mergeCell ref="A53:B53"/>
    <mergeCell ref="D53:E53"/>
    <mergeCell ref="F53:G53"/>
    <mergeCell ref="H53:I53"/>
    <mergeCell ref="J53:K53"/>
  </mergeCells>
  <printOptions horizontalCentered="1" verticalCentered="1"/>
  <pageMargins left="0" right="0" top="0" bottom="0" header="0.31496062992125984" footer="0.31496062992125984"/>
  <pageSetup paperSize="9" scale="68" fitToHeight="5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23E81-31F2-449D-989F-2177ACC5E50A}">
  <dimension ref="A1:Y52"/>
  <sheetViews>
    <sheetView tabSelected="1" zoomScale="90" zoomScaleNormal="90" zoomScaleSheetLayoutView="86" workbookViewId="0">
      <pane ySplit="1" topLeftCell="A2" activePane="bottomLeft" state="frozen"/>
      <selection pane="bottomLeft" activeCell="E1" sqref="E1"/>
    </sheetView>
  </sheetViews>
  <sheetFormatPr defaultRowHeight="14.4" x14ac:dyDescent="0.3"/>
  <cols>
    <col min="1" max="2" width="13.21875" customWidth="1"/>
    <col min="3" max="3" width="70.77734375" customWidth="1"/>
    <col min="4" max="5" width="17.6640625" customWidth="1"/>
    <col min="6" max="6" width="16.21875" customWidth="1"/>
    <col min="7" max="8" width="10.77734375" customWidth="1"/>
    <col min="9" max="10" width="10.77734375" hidden="1" customWidth="1"/>
    <col min="11" max="12" width="9.21875" hidden="1" customWidth="1"/>
    <col min="13" max="14" width="9.21875" customWidth="1"/>
    <col min="15" max="16" width="9.21875" hidden="1" customWidth="1"/>
    <col min="17" max="18" width="9.21875" customWidth="1"/>
    <col min="19" max="21" width="9.21875" hidden="1" customWidth="1"/>
    <col min="22" max="22" width="2.21875" hidden="1" customWidth="1"/>
    <col min="23" max="25" width="21.44140625" style="1" customWidth="1"/>
  </cols>
  <sheetData>
    <row r="1" spans="1:25" s="63" customFormat="1" ht="16.2" thickBot="1" x14ac:dyDescent="0.35">
      <c r="A1" s="95" t="s">
        <v>18</v>
      </c>
      <c r="B1" s="95" t="s">
        <v>124</v>
      </c>
      <c r="C1" s="95" t="s">
        <v>0</v>
      </c>
      <c r="D1" s="100" t="s">
        <v>122</v>
      </c>
      <c r="E1" s="100" t="s">
        <v>123</v>
      </c>
      <c r="F1" s="100" t="s">
        <v>21</v>
      </c>
      <c r="G1" s="104" t="s">
        <v>19</v>
      </c>
      <c r="H1" s="105"/>
      <c r="I1" s="102" t="s">
        <v>20</v>
      </c>
      <c r="J1" s="103"/>
      <c r="K1" s="102" t="s">
        <v>20</v>
      </c>
      <c r="L1" s="103"/>
      <c r="M1" s="104" t="s">
        <v>19</v>
      </c>
      <c r="N1" s="105"/>
      <c r="O1" s="102" t="s">
        <v>20</v>
      </c>
      <c r="P1" s="103"/>
      <c r="Q1" s="104" t="s">
        <v>19</v>
      </c>
      <c r="R1" s="105"/>
      <c r="S1" s="102" t="s">
        <v>20</v>
      </c>
      <c r="T1" s="103"/>
      <c r="U1" s="106" t="s">
        <v>20</v>
      </c>
      <c r="V1" s="107"/>
      <c r="W1" s="108"/>
      <c r="X1" s="108"/>
      <c r="Y1" s="108"/>
    </row>
    <row r="2" spans="1:25" s="2" customFormat="1" ht="35.1" customHeight="1" thickBot="1" x14ac:dyDescent="0.35">
      <c r="A2" s="24">
        <v>1</v>
      </c>
      <c r="B2" s="24" t="s">
        <v>118</v>
      </c>
      <c r="C2" s="87" t="s">
        <v>112</v>
      </c>
      <c r="D2" s="101">
        <v>46143</v>
      </c>
      <c r="E2" s="101">
        <v>46149</v>
      </c>
      <c r="F2" s="74" t="s">
        <v>82</v>
      </c>
      <c r="G2" s="75"/>
      <c r="H2" s="76"/>
      <c r="I2" s="75"/>
      <c r="J2" s="76"/>
      <c r="K2" s="75"/>
      <c r="L2" s="77"/>
      <c r="M2" s="75"/>
      <c r="N2" s="77">
        <v>1</v>
      </c>
      <c r="O2" s="75"/>
      <c r="P2" s="77"/>
      <c r="Q2" s="75"/>
      <c r="R2" s="77">
        <v>2.5</v>
      </c>
      <c r="S2" s="21"/>
      <c r="T2" s="23"/>
      <c r="U2" s="21">
        <v>4</v>
      </c>
      <c r="V2" s="23"/>
      <c r="W2" s="3"/>
      <c r="X2" s="7"/>
      <c r="Y2" s="7"/>
    </row>
    <row r="3" spans="1:25" s="2" customFormat="1" ht="35.1" customHeight="1" thickBot="1" x14ac:dyDescent="0.35">
      <c r="A3" s="24">
        <v>2</v>
      </c>
      <c r="B3" s="24" t="s">
        <v>118</v>
      </c>
      <c r="C3" s="87" t="s">
        <v>94</v>
      </c>
      <c r="D3" s="101">
        <v>46143</v>
      </c>
      <c r="E3" s="101">
        <v>46149</v>
      </c>
      <c r="F3" s="74" t="s">
        <v>82</v>
      </c>
      <c r="G3" s="75"/>
      <c r="H3" s="76"/>
      <c r="I3" s="75"/>
      <c r="J3" s="76"/>
      <c r="K3" s="75"/>
      <c r="L3" s="77"/>
      <c r="M3" s="75"/>
      <c r="N3" s="77"/>
      <c r="O3" s="75"/>
      <c r="P3" s="77"/>
      <c r="Q3" s="75">
        <v>2</v>
      </c>
      <c r="R3" s="77">
        <v>0.5</v>
      </c>
      <c r="S3" s="21"/>
      <c r="T3" s="23"/>
      <c r="U3" s="5"/>
      <c r="V3" s="6"/>
      <c r="W3" s="3"/>
      <c r="X3" s="7"/>
      <c r="Y3" s="7"/>
    </row>
    <row r="4" spans="1:25" s="2" customFormat="1" ht="35.1" customHeight="1" thickBot="1" x14ac:dyDescent="0.35">
      <c r="A4" s="24">
        <v>3</v>
      </c>
      <c r="B4" s="24" t="s">
        <v>118</v>
      </c>
      <c r="C4" s="87" t="s">
        <v>95</v>
      </c>
      <c r="D4" s="101">
        <v>46143</v>
      </c>
      <c r="E4" s="101">
        <v>46158</v>
      </c>
      <c r="F4" s="74" t="s">
        <v>83</v>
      </c>
      <c r="G4" s="75"/>
      <c r="H4" s="76"/>
      <c r="I4" s="75"/>
      <c r="J4" s="76"/>
      <c r="K4" s="75"/>
      <c r="L4" s="77"/>
      <c r="M4" s="75">
        <v>3</v>
      </c>
      <c r="N4" s="77">
        <v>0.5</v>
      </c>
      <c r="O4" s="75"/>
      <c r="P4" s="77"/>
      <c r="Q4" s="75">
        <v>1</v>
      </c>
      <c r="R4" s="77">
        <v>1</v>
      </c>
      <c r="S4" s="21"/>
      <c r="T4" s="23"/>
      <c r="U4" s="5"/>
      <c r="V4" s="6"/>
      <c r="W4" s="3"/>
      <c r="X4" s="7"/>
      <c r="Y4" s="7"/>
    </row>
    <row r="5" spans="1:25" s="2" customFormat="1" ht="35.1" customHeight="1" thickBot="1" x14ac:dyDescent="0.35">
      <c r="A5" s="24">
        <v>4</v>
      </c>
      <c r="B5" s="24" t="s">
        <v>118</v>
      </c>
      <c r="C5" s="87" t="s">
        <v>113</v>
      </c>
      <c r="D5" s="101">
        <v>46143</v>
      </c>
      <c r="E5" s="101">
        <v>46158</v>
      </c>
      <c r="F5" s="74" t="s">
        <v>83</v>
      </c>
      <c r="G5" s="75"/>
      <c r="H5" s="76"/>
      <c r="I5" s="75"/>
      <c r="J5" s="76"/>
      <c r="K5" s="75"/>
      <c r="L5" s="77"/>
      <c r="M5" s="75">
        <v>2</v>
      </c>
      <c r="N5" s="77">
        <v>0.5</v>
      </c>
      <c r="O5" s="75"/>
      <c r="P5" s="77"/>
      <c r="Q5" s="75">
        <v>4</v>
      </c>
      <c r="R5" s="77">
        <v>2</v>
      </c>
      <c r="S5" s="21"/>
      <c r="T5" s="23"/>
      <c r="U5" s="5"/>
      <c r="V5" s="6"/>
      <c r="W5" s="51"/>
      <c r="X5" s="7"/>
      <c r="Y5" s="7"/>
    </row>
    <row r="6" spans="1:25" s="2" customFormat="1" ht="35.1" customHeight="1" thickBot="1" x14ac:dyDescent="0.35">
      <c r="A6" s="24">
        <v>5</v>
      </c>
      <c r="B6" s="24" t="s">
        <v>118</v>
      </c>
      <c r="C6" s="87" t="s">
        <v>114</v>
      </c>
      <c r="D6" s="101">
        <v>46143</v>
      </c>
      <c r="E6" s="101">
        <v>46158</v>
      </c>
      <c r="F6" s="74" t="s">
        <v>83</v>
      </c>
      <c r="G6" s="21"/>
      <c r="H6" s="22"/>
      <c r="I6" s="21"/>
      <c r="J6" s="22"/>
      <c r="K6" s="21"/>
      <c r="L6" s="23"/>
      <c r="M6" s="21"/>
      <c r="N6" s="23">
        <v>3</v>
      </c>
      <c r="O6" s="21"/>
      <c r="P6" s="23"/>
      <c r="Q6" s="21"/>
      <c r="R6" s="23">
        <v>16</v>
      </c>
      <c r="S6" s="21"/>
      <c r="T6" s="23"/>
      <c r="U6" s="5"/>
      <c r="V6" s="6"/>
      <c r="W6" s="51"/>
      <c r="X6" s="7"/>
      <c r="Y6" s="7"/>
    </row>
    <row r="7" spans="1:25" s="2" customFormat="1" ht="35.1" customHeight="1" thickBot="1" x14ac:dyDescent="0.35">
      <c r="A7" s="24">
        <v>6</v>
      </c>
      <c r="B7" s="24" t="s">
        <v>118</v>
      </c>
      <c r="C7" s="87" t="s">
        <v>96</v>
      </c>
      <c r="D7" s="101">
        <v>46143</v>
      </c>
      <c r="E7" s="101">
        <v>46158</v>
      </c>
      <c r="F7" s="74" t="s">
        <v>83</v>
      </c>
      <c r="G7" s="75"/>
      <c r="H7" s="76"/>
      <c r="I7" s="75"/>
      <c r="J7" s="76"/>
      <c r="K7" s="75"/>
      <c r="L7" s="77"/>
      <c r="M7" s="75">
        <v>1</v>
      </c>
      <c r="N7" s="77"/>
      <c r="O7" s="75"/>
      <c r="P7" s="77"/>
      <c r="Q7" s="75">
        <v>4</v>
      </c>
      <c r="R7" s="77"/>
      <c r="S7" s="21"/>
      <c r="T7" s="23"/>
      <c r="U7" s="5"/>
      <c r="V7" s="6"/>
      <c r="W7" s="51"/>
      <c r="X7" s="7"/>
      <c r="Y7" s="7"/>
    </row>
    <row r="8" spans="1:25" s="2" customFormat="1" ht="35.1" customHeight="1" thickBot="1" x14ac:dyDescent="0.35">
      <c r="A8" s="24">
        <v>7</v>
      </c>
      <c r="B8" s="24" t="s">
        <v>118</v>
      </c>
      <c r="C8" s="87" t="s">
        <v>97</v>
      </c>
      <c r="D8" s="101">
        <v>46143</v>
      </c>
      <c r="E8" s="101">
        <v>46158</v>
      </c>
      <c r="F8" s="74" t="s">
        <v>83</v>
      </c>
      <c r="G8" s="75"/>
      <c r="H8" s="76"/>
      <c r="I8" s="75"/>
      <c r="J8" s="76"/>
      <c r="K8" s="75"/>
      <c r="L8" s="77"/>
      <c r="M8" s="75"/>
      <c r="N8" s="77">
        <v>0.5</v>
      </c>
      <c r="O8" s="75"/>
      <c r="P8" s="77"/>
      <c r="Q8" s="75">
        <v>1</v>
      </c>
      <c r="R8" s="77">
        <v>0.5</v>
      </c>
      <c r="S8" s="21"/>
      <c r="T8" s="23"/>
      <c r="U8" s="5"/>
      <c r="V8" s="6"/>
      <c r="W8" s="51"/>
      <c r="X8" s="7"/>
      <c r="Y8" s="7"/>
    </row>
    <row r="9" spans="1:25" s="2" customFormat="1" ht="35.1" customHeight="1" thickBot="1" x14ac:dyDescent="0.35">
      <c r="A9" s="24">
        <v>8</v>
      </c>
      <c r="B9" s="24" t="s">
        <v>118</v>
      </c>
      <c r="C9" s="87" t="s">
        <v>98</v>
      </c>
      <c r="D9" s="101">
        <v>46143</v>
      </c>
      <c r="E9" s="101">
        <v>46149</v>
      </c>
      <c r="F9" s="74" t="s">
        <v>82</v>
      </c>
      <c r="G9" s="75"/>
      <c r="H9" s="76"/>
      <c r="I9" s="75"/>
      <c r="J9" s="76"/>
      <c r="K9" s="75"/>
      <c r="L9" s="77"/>
      <c r="M9" s="75"/>
      <c r="N9" s="77"/>
      <c r="O9" s="75"/>
      <c r="P9" s="77"/>
      <c r="Q9" s="75"/>
      <c r="R9" s="77">
        <v>1</v>
      </c>
      <c r="S9" s="21"/>
      <c r="T9" s="23"/>
      <c r="U9" s="5"/>
      <c r="V9" s="6"/>
      <c r="W9" s="51"/>
      <c r="X9" s="7"/>
      <c r="Y9" s="7"/>
    </row>
    <row r="10" spans="1:25" s="2" customFormat="1" ht="35.1" customHeight="1" thickBot="1" x14ac:dyDescent="0.35">
      <c r="A10" s="24">
        <v>9</v>
      </c>
      <c r="B10" s="24" t="s">
        <v>118</v>
      </c>
      <c r="C10" s="87" t="s">
        <v>99</v>
      </c>
      <c r="D10" s="101">
        <v>46143</v>
      </c>
      <c r="E10" s="101">
        <v>46158</v>
      </c>
      <c r="F10" s="74" t="s">
        <v>90</v>
      </c>
      <c r="G10" s="75"/>
      <c r="H10" s="76"/>
      <c r="I10" s="75"/>
      <c r="J10" s="76"/>
      <c r="K10" s="75"/>
      <c r="L10" s="77"/>
      <c r="M10" s="75">
        <v>1</v>
      </c>
      <c r="N10" s="77"/>
      <c r="O10" s="75"/>
      <c r="P10" s="77"/>
      <c r="Q10" s="75">
        <v>2</v>
      </c>
      <c r="R10" s="77"/>
      <c r="S10" s="21"/>
      <c r="T10" s="23"/>
      <c r="U10" s="5"/>
      <c r="V10" s="6"/>
      <c r="W10" s="51"/>
      <c r="X10" s="7"/>
      <c r="Y10" s="7"/>
    </row>
    <row r="11" spans="1:25" s="2" customFormat="1" ht="35.1" customHeight="1" thickBot="1" x14ac:dyDescent="0.35">
      <c r="A11" s="24">
        <v>10</v>
      </c>
      <c r="B11" s="24" t="s">
        <v>118</v>
      </c>
      <c r="C11" s="87" t="s">
        <v>100</v>
      </c>
      <c r="D11" s="101">
        <v>46158</v>
      </c>
      <c r="E11" s="101">
        <v>46165</v>
      </c>
      <c r="F11" s="74" t="s">
        <v>89</v>
      </c>
      <c r="G11" s="75"/>
      <c r="H11" s="76"/>
      <c r="I11" s="75"/>
      <c r="J11" s="76"/>
      <c r="K11" s="75"/>
      <c r="L11" s="77"/>
      <c r="M11" s="75">
        <v>2</v>
      </c>
      <c r="N11" s="77"/>
      <c r="O11" s="75"/>
      <c r="P11" s="77"/>
      <c r="Q11" s="75">
        <v>4</v>
      </c>
      <c r="R11" s="77">
        <v>0.5</v>
      </c>
      <c r="S11" s="21"/>
      <c r="T11" s="23"/>
      <c r="U11" s="5"/>
      <c r="V11" s="6"/>
      <c r="W11" s="51"/>
      <c r="X11" s="7"/>
      <c r="Y11" s="7"/>
    </row>
    <row r="12" spans="1:25" s="2" customFormat="1" ht="35.1" customHeight="1" thickBot="1" x14ac:dyDescent="0.35">
      <c r="A12" s="24">
        <v>11</v>
      </c>
      <c r="B12" s="24" t="s">
        <v>118</v>
      </c>
      <c r="C12" s="87" t="s">
        <v>101</v>
      </c>
      <c r="D12" s="101">
        <v>46158</v>
      </c>
      <c r="E12" s="101">
        <v>46165</v>
      </c>
      <c r="F12" s="74" t="s">
        <v>89</v>
      </c>
      <c r="G12" s="75"/>
      <c r="H12" s="76"/>
      <c r="I12" s="75"/>
      <c r="J12" s="76"/>
      <c r="K12" s="75"/>
      <c r="L12" s="77"/>
      <c r="M12" s="75"/>
      <c r="N12" s="77">
        <v>0.5</v>
      </c>
      <c r="O12" s="75"/>
      <c r="P12" s="77"/>
      <c r="Q12" s="75"/>
      <c r="R12" s="77">
        <v>2</v>
      </c>
      <c r="S12" s="21"/>
      <c r="T12" s="23"/>
      <c r="U12" s="5"/>
      <c r="V12" s="6"/>
      <c r="W12" s="51"/>
      <c r="X12" s="7"/>
      <c r="Y12" s="7"/>
    </row>
    <row r="13" spans="1:25" s="2" customFormat="1" ht="35.1" customHeight="1" thickBot="1" x14ac:dyDescent="0.35">
      <c r="A13" s="24">
        <v>12</v>
      </c>
      <c r="B13" s="24" t="s">
        <v>118</v>
      </c>
      <c r="C13" s="87" t="s">
        <v>102</v>
      </c>
      <c r="D13" s="101">
        <v>46158</v>
      </c>
      <c r="E13" s="101">
        <v>46165</v>
      </c>
      <c r="F13" s="74" t="s">
        <v>89</v>
      </c>
      <c r="G13" s="75"/>
      <c r="H13" s="76"/>
      <c r="I13" s="75"/>
      <c r="J13" s="76"/>
      <c r="K13" s="75"/>
      <c r="L13" s="77"/>
      <c r="M13" s="75">
        <v>4</v>
      </c>
      <c r="N13" s="77">
        <v>0.5</v>
      </c>
      <c r="O13" s="75"/>
      <c r="P13" s="77"/>
      <c r="Q13" s="75">
        <v>4</v>
      </c>
      <c r="R13" s="77">
        <v>0.5</v>
      </c>
      <c r="S13" s="21"/>
      <c r="T13" s="23"/>
      <c r="U13" s="5"/>
      <c r="V13" s="6"/>
      <c r="W13" s="51"/>
      <c r="X13" s="7"/>
      <c r="Y13" s="7"/>
    </row>
    <row r="14" spans="1:25" s="2" customFormat="1" ht="35.1" customHeight="1" thickBot="1" x14ac:dyDescent="0.35">
      <c r="A14" s="24">
        <v>13</v>
      </c>
      <c r="B14" s="24" t="s">
        <v>118</v>
      </c>
      <c r="C14" s="87" t="s">
        <v>103</v>
      </c>
      <c r="D14" s="101">
        <v>46158</v>
      </c>
      <c r="E14" s="101">
        <v>46165</v>
      </c>
      <c r="F14" s="74" t="s">
        <v>89</v>
      </c>
      <c r="G14" s="75"/>
      <c r="H14" s="76"/>
      <c r="I14" s="75"/>
      <c r="J14" s="76"/>
      <c r="K14" s="75"/>
      <c r="L14" s="77"/>
      <c r="M14" s="75"/>
      <c r="N14" s="77">
        <v>1</v>
      </c>
      <c r="O14" s="75"/>
      <c r="P14" s="77"/>
      <c r="Q14" s="75"/>
      <c r="R14" s="77">
        <v>3</v>
      </c>
      <c r="S14" s="21"/>
      <c r="T14" s="23"/>
      <c r="U14" s="5"/>
      <c r="V14" s="6"/>
      <c r="W14" s="51"/>
      <c r="X14" s="7"/>
      <c r="Y14" s="7"/>
    </row>
    <row r="15" spans="1:25" s="2" customFormat="1" ht="35.1" customHeight="1" thickBot="1" x14ac:dyDescent="0.35">
      <c r="A15" s="24">
        <v>14</v>
      </c>
      <c r="B15" s="24" t="s">
        <v>118</v>
      </c>
      <c r="C15" s="87" t="s">
        <v>115</v>
      </c>
      <c r="D15" s="101">
        <v>46158</v>
      </c>
      <c r="E15" s="101">
        <v>46165</v>
      </c>
      <c r="F15" s="74" t="s">
        <v>89</v>
      </c>
      <c r="G15" s="21"/>
      <c r="H15" s="22"/>
      <c r="I15" s="21"/>
      <c r="J15" s="22"/>
      <c r="K15" s="21"/>
      <c r="L15" s="23"/>
      <c r="M15" s="21">
        <v>18</v>
      </c>
      <c r="N15" s="23"/>
      <c r="O15" s="21"/>
      <c r="P15" s="23"/>
      <c r="Q15" s="21">
        <v>18</v>
      </c>
      <c r="R15" s="23"/>
      <c r="S15" s="21"/>
      <c r="T15" s="23"/>
      <c r="U15" s="5"/>
      <c r="V15" s="6"/>
      <c r="W15" s="51"/>
      <c r="X15" s="7"/>
      <c r="Y15" s="7"/>
    </row>
    <row r="16" spans="1:25" s="2" customFormat="1" ht="35.1" customHeight="1" thickBot="1" x14ac:dyDescent="0.35">
      <c r="A16" s="24">
        <v>15</v>
      </c>
      <c r="B16" s="24" t="s">
        <v>118</v>
      </c>
      <c r="C16" s="87" t="s">
        <v>116</v>
      </c>
      <c r="D16" s="101">
        <v>46143</v>
      </c>
      <c r="E16" s="101">
        <v>46165</v>
      </c>
      <c r="F16" s="74" t="s">
        <v>86</v>
      </c>
      <c r="G16" s="75"/>
      <c r="H16" s="76"/>
      <c r="I16" s="75"/>
      <c r="J16" s="76"/>
      <c r="K16" s="75"/>
      <c r="L16" s="77"/>
      <c r="M16" s="75">
        <v>3</v>
      </c>
      <c r="N16" s="77"/>
      <c r="O16" s="75"/>
      <c r="P16" s="77"/>
      <c r="Q16" s="75">
        <v>3</v>
      </c>
      <c r="R16" s="77">
        <v>1</v>
      </c>
      <c r="S16" s="21"/>
      <c r="T16" s="23"/>
      <c r="U16" s="5"/>
      <c r="V16" s="6"/>
      <c r="W16" s="51"/>
      <c r="X16" s="7"/>
      <c r="Y16" s="7"/>
    </row>
    <row r="17" spans="1:25" s="2" customFormat="1" ht="35.1" customHeight="1" thickBot="1" x14ac:dyDescent="0.35">
      <c r="A17" s="24">
        <v>16</v>
      </c>
      <c r="B17" s="24" t="s">
        <v>119</v>
      </c>
      <c r="C17" s="87" t="s">
        <v>117</v>
      </c>
      <c r="D17" s="101">
        <v>46143</v>
      </c>
      <c r="E17" s="101">
        <v>46165</v>
      </c>
      <c r="F17" s="74" t="s">
        <v>86</v>
      </c>
      <c r="G17" s="75"/>
      <c r="H17" s="76"/>
      <c r="I17" s="75"/>
      <c r="J17" s="76"/>
      <c r="K17" s="75"/>
      <c r="L17" s="77"/>
      <c r="M17" s="75">
        <v>2</v>
      </c>
      <c r="N17" s="77"/>
      <c r="O17" s="75"/>
      <c r="P17" s="77"/>
      <c r="Q17" s="75">
        <v>2</v>
      </c>
      <c r="R17" s="77"/>
      <c r="S17" s="21"/>
      <c r="T17" s="23"/>
      <c r="U17" s="5"/>
      <c r="V17" s="6"/>
      <c r="W17" s="51"/>
      <c r="X17" s="7"/>
      <c r="Y17" s="7"/>
    </row>
    <row r="18" spans="1:25" s="2" customFormat="1" ht="35.1" customHeight="1" thickBot="1" x14ac:dyDescent="0.35">
      <c r="A18" s="24">
        <v>17</v>
      </c>
      <c r="B18" s="24" t="s">
        <v>119</v>
      </c>
      <c r="C18" s="55" t="s">
        <v>104</v>
      </c>
      <c r="D18" s="101">
        <v>46165</v>
      </c>
      <c r="E18" s="101">
        <v>46173</v>
      </c>
      <c r="F18" s="74" t="s">
        <v>110</v>
      </c>
      <c r="G18" s="75"/>
      <c r="H18" s="76"/>
      <c r="I18" s="75"/>
      <c r="J18" s="76"/>
      <c r="K18" s="75"/>
      <c r="L18" s="77"/>
      <c r="M18" s="75"/>
      <c r="N18" s="77">
        <v>0.5</v>
      </c>
      <c r="O18" s="75"/>
      <c r="P18" s="77"/>
      <c r="Q18" s="75">
        <v>4</v>
      </c>
      <c r="R18" s="77">
        <v>1</v>
      </c>
      <c r="S18" s="21"/>
      <c r="T18" s="23"/>
      <c r="U18" s="5"/>
      <c r="V18" s="6"/>
      <c r="W18" s="51"/>
      <c r="X18" s="7"/>
      <c r="Y18" s="7"/>
    </row>
    <row r="19" spans="1:25" s="2" customFormat="1" ht="35.1" customHeight="1" thickBot="1" x14ac:dyDescent="0.35">
      <c r="A19" s="24">
        <v>18</v>
      </c>
      <c r="B19" s="24" t="s">
        <v>119</v>
      </c>
      <c r="C19" s="55" t="s">
        <v>105</v>
      </c>
      <c r="D19" s="101">
        <v>46143</v>
      </c>
      <c r="E19" s="101">
        <v>46173</v>
      </c>
      <c r="F19" s="74" t="s">
        <v>84</v>
      </c>
      <c r="G19" s="75"/>
      <c r="H19" s="76"/>
      <c r="I19" s="75"/>
      <c r="J19" s="76"/>
      <c r="K19" s="75"/>
      <c r="L19" s="77"/>
      <c r="M19" s="75">
        <v>2</v>
      </c>
      <c r="N19" s="77"/>
      <c r="O19" s="75"/>
      <c r="P19" s="77"/>
      <c r="Q19" s="75">
        <v>2</v>
      </c>
      <c r="R19" s="77">
        <v>3</v>
      </c>
      <c r="S19" s="21"/>
      <c r="T19" s="23"/>
      <c r="U19" s="5"/>
      <c r="V19" s="6"/>
      <c r="W19" s="51"/>
      <c r="X19" s="7"/>
      <c r="Y19" s="7"/>
    </row>
    <row r="20" spans="1:25" s="2" customFormat="1" ht="35.1" customHeight="1" thickBot="1" x14ac:dyDescent="0.35">
      <c r="A20" s="24">
        <v>19</v>
      </c>
      <c r="B20" s="24" t="s">
        <v>120</v>
      </c>
      <c r="C20" s="55" t="s">
        <v>111</v>
      </c>
      <c r="D20" s="101">
        <v>46143</v>
      </c>
      <c r="E20" s="101">
        <v>46149</v>
      </c>
      <c r="F20" s="74" t="s">
        <v>82</v>
      </c>
      <c r="G20" s="75"/>
      <c r="H20" s="76"/>
      <c r="I20" s="75"/>
      <c r="J20" s="76"/>
      <c r="K20" s="75"/>
      <c r="L20" s="77"/>
      <c r="M20" s="75">
        <v>0.5</v>
      </c>
      <c r="N20" s="77"/>
      <c r="O20" s="75"/>
      <c r="P20" s="77"/>
      <c r="Q20" s="75">
        <v>1</v>
      </c>
      <c r="R20" s="77"/>
      <c r="S20" s="21"/>
      <c r="T20" s="23"/>
      <c r="U20" s="5"/>
      <c r="V20" s="6"/>
      <c r="W20" s="51"/>
      <c r="X20" s="7"/>
      <c r="Y20" s="7"/>
    </row>
    <row r="21" spans="1:25" s="2" customFormat="1" ht="35.1" customHeight="1" thickBot="1" x14ac:dyDescent="0.35">
      <c r="A21" s="24">
        <v>20</v>
      </c>
      <c r="B21" s="24" t="s">
        <v>120</v>
      </c>
      <c r="C21" s="55" t="s">
        <v>106</v>
      </c>
      <c r="D21" s="101">
        <v>46143</v>
      </c>
      <c r="E21" s="101">
        <v>46149</v>
      </c>
      <c r="F21" s="74" t="s">
        <v>82</v>
      </c>
      <c r="G21" s="75"/>
      <c r="H21" s="76"/>
      <c r="I21" s="75"/>
      <c r="J21" s="76"/>
      <c r="K21" s="75"/>
      <c r="L21" s="77"/>
      <c r="M21" s="75"/>
      <c r="N21" s="77"/>
      <c r="O21" s="75"/>
      <c r="P21" s="77"/>
      <c r="Q21" s="75">
        <v>1</v>
      </c>
      <c r="R21" s="77"/>
      <c r="S21" s="21"/>
      <c r="T21" s="23"/>
      <c r="U21" s="5"/>
      <c r="V21" s="6"/>
      <c r="W21" s="51"/>
      <c r="X21" s="7"/>
      <c r="Y21" s="7"/>
    </row>
    <row r="22" spans="1:25" s="2" customFormat="1" ht="35.1" customHeight="1" thickBot="1" x14ac:dyDescent="0.35">
      <c r="A22" s="24">
        <v>21</v>
      </c>
      <c r="B22" s="24" t="s">
        <v>120</v>
      </c>
      <c r="C22" s="55" t="s">
        <v>107</v>
      </c>
      <c r="D22" s="101">
        <v>46143</v>
      </c>
      <c r="E22" s="101">
        <v>46173</v>
      </c>
      <c r="F22" s="74" t="s">
        <v>91</v>
      </c>
      <c r="G22" s="75"/>
      <c r="H22" s="76"/>
      <c r="I22" s="75"/>
      <c r="J22" s="76"/>
      <c r="K22" s="75"/>
      <c r="L22" s="77"/>
      <c r="M22" s="75"/>
      <c r="N22" s="77"/>
      <c r="O22" s="75"/>
      <c r="P22" s="77"/>
      <c r="Q22" s="75"/>
      <c r="R22" s="77">
        <v>1</v>
      </c>
      <c r="S22" s="21"/>
      <c r="T22" s="23"/>
      <c r="U22" s="5"/>
      <c r="V22" s="6"/>
      <c r="W22" s="51"/>
      <c r="X22" s="7"/>
      <c r="Y22" s="7"/>
    </row>
    <row r="23" spans="1:25" s="2" customFormat="1" ht="35.1" customHeight="1" thickBot="1" x14ac:dyDescent="0.35">
      <c r="A23" s="24">
        <v>22</v>
      </c>
      <c r="B23" s="24" t="s">
        <v>120</v>
      </c>
      <c r="C23" s="55" t="s">
        <v>108</v>
      </c>
      <c r="D23" s="101">
        <v>46143</v>
      </c>
      <c r="E23" s="101">
        <v>46173</v>
      </c>
      <c r="F23" s="74" t="s">
        <v>84</v>
      </c>
      <c r="G23" s="75"/>
      <c r="H23" s="76"/>
      <c r="I23" s="75"/>
      <c r="J23" s="76"/>
      <c r="K23" s="75"/>
      <c r="L23" s="77"/>
      <c r="M23" s="75"/>
      <c r="N23" s="77">
        <v>0.5</v>
      </c>
      <c r="O23" s="75"/>
      <c r="P23" s="77"/>
      <c r="Q23" s="75">
        <v>2</v>
      </c>
      <c r="R23" s="77"/>
      <c r="S23" s="21"/>
      <c r="T23" s="23"/>
      <c r="U23" s="5"/>
      <c r="V23" s="6"/>
      <c r="W23" s="51"/>
      <c r="X23" s="7"/>
      <c r="Y23" s="7"/>
    </row>
    <row r="24" spans="1:25" s="2" customFormat="1" ht="35.1" customHeight="1" thickBot="1" x14ac:dyDescent="0.35">
      <c r="A24" s="24">
        <v>23</v>
      </c>
      <c r="B24" s="24" t="s">
        <v>120</v>
      </c>
      <c r="C24" s="55" t="s">
        <v>109</v>
      </c>
      <c r="D24" s="101">
        <v>46143</v>
      </c>
      <c r="E24" s="101">
        <v>46173</v>
      </c>
      <c r="F24" s="74" t="s">
        <v>84</v>
      </c>
      <c r="G24" s="75"/>
      <c r="H24" s="76"/>
      <c r="I24" s="75"/>
      <c r="J24" s="76"/>
      <c r="K24" s="75"/>
      <c r="L24" s="77"/>
      <c r="M24" s="75"/>
      <c r="N24" s="77">
        <v>0.5</v>
      </c>
      <c r="O24" s="75"/>
      <c r="P24" s="77"/>
      <c r="Q24" s="75">
        <v>2</v>
      </c>
      <c r="R24" s="77">
        <v>0.5</v>
      </c>
      <c r="S24" s="21"/>
      <c r="T24" s="23"/>
      <c r="U24" s="5"/>
      <c r="V24" s="6"/>
      <c r="W24" s="51"/>
      <c r="X24" s="7"/>
      <c r="Y24" s="7"/>
    </row>
    <row r="25" spans="1:25" s="2" customFormat="1" ht="35.1" customHeight="1" thickBot="1" x14ac:dyDescent="0.35">
      <c r="A25" s="24">
        <v>24</v>
      </c>
      <c r="B25" s="24" t="s">
        <v>121</v>
      </c>
      <c r="C25" s="87" t="s">
        <v>67</v>
      </c>
      <c r="D25" s="101">
        <v>46143</v>
      </c>
      <c r="E25" s="101">
        <v>46165</v>
      </c>
      <c r="F25" s="24" t="s">
        <v>86</v>
      </c>
      <c r="G25" s="88">
        <v>3</v>
      </c>
      <c r="H25" s="89"/>
      <c r="I25" s="88"/>
      <c r="J25" s="89"/>
      <c r="K25" s="88"/>
      <c r="L25" s="90"/>
      <c r="M25" s="88">
        <v>3</v>
      </c>
      <c r="N25" s="90"/>
      <c r="O25" s="88"/>
      <c r="P25" s="90"/>
      <c r="Q25" s="88">
        <v>3</v>
      </c>
      <c r="R25" s="90"/>
      <c r="S25" s="91"/>
      <c r="T25" s="92"/>
      <c r="U25" s="93"/>
      <c r="V25" s="94"/>
      <c r="W25" s="51"/>
      <c r="X25" s="7"/>
      <c r="Y25" s="7"/>
    </row>
    <row r="26" spans="1:25" s="2" customFormat="1" ht="30" customHeight="1" thickBot="1" x14ac:dyDescent="0.35">
      <c r="A26" s="109" t="s">
        <v>31</v>
      </c>
      <c r="B26" s="110"/>
      <c r="C26" s="110"/>
      <c r="D26" s="96"/>
      <c r="E26" s="96"/>
      <c r="F26" s="25"/>
      <c r="G26" s="26">
        <f>SUM(G2:G25)</f>
        <v>3</v>
      </c>
      <c r="H26" s="26">
        <f t="shared" ref="H26:R26" si="0">SUM(H2:H25)</f>
        <v>0</v>
      </c>
      <c r="I26" s="26">
        <f t="shared" si="0"/>
        <v>0</v>
      </c>
      <c r="J26" s="26">
        <f t="shared" si="0"/>
        <v>0</v>
      </c>
      <c r="K26" s="26">
        <f t="shared" si="0"/>
        <v>0</v>
      </c>
      <c r="L26" s="26">
        <f t="shared" si="0"/>
        <v>0</v>
      </c>
      <c r="M26" s="26">
        <f t="shared" si="0"/>
        <v>41.5</v>
      </c>
      <c r="N26" s="26">
        <f t="shared" si="0"/>
        <v>9</v>
      </c>
      <c r="O26" s="26">
        <f t="shared" si="0"/>
        <v>0</v>
      </c>
      <c r="P26" s="26">
        <f t="shared" si="0"/>
        <v>0</v>
      </c>
      <c r="Q26" s="26">
        <f t="shared" si="0"/>
        <v>60</v>
      </c>
      <c r="R26" s="26">
        <f t="shared" si="0"/>
        <v>36</v>
      </c>
      <c r="S26" s="26">
        <f>SUM(S2:S24)</f>
        <v>0</v>
      </c>
      <c r="T26" s="26">
        <f>SUM(T2:T24)</f>
        <v>0</v>
      </c>
      <c r="U26" s="8" t="e">
        <f>SUM(#REF!)</f>
        <v>#REF!</v>
      </c>
      <c r="V26" s="8" t="e">
        <f>SUM(#REF!)</f>
        <v>#REF!</v>
      </c>
      <c r="W26" s="3"/>
      <c r="X26" s="7"/>
      <c r="Y26" s="7"/>
    </row>
    <row r="27" spans="1:25" s="2" customFormat="1" ht="30" customHeight="1" thickBot="1" x14ac:dyDescent="0.35">
      <c r="A27" s="109" t="s">
        <v>32</v>
      </c>
      <c r="B27" s="110"/>
      <c r="C27" s="110"/>
      <c r="D27" s="96"/>
      <c r="E27" s="96"/>
      <c r="F27" s="25"/>
      <c r="G27" s="27">
        <f>G26/6</f>
        <v>0.5</v>
      </c>
      <c r="H27" s="27">
        <f>H26/7.5</f>
        <v>0</v>
      </c>
      <c r="I27" s="27">
        <f t="shared" ref="I27" si="1">I26/6</f>
        <v>0</v>
      </c>
      <c r="J27" s="27">
        <f t="shared" ref="J27" si="2">J26/7.5</f>
        <v>0</v>
      </c>
      <c r="K27" s="27">
        <f t="shared" ref="K27" si="3">K26/6</f>
        <v>0</v>
      </c>
      <c r="L27" s="27">
        <f t="shared" ref="L27" si="4">L26/7.5</f>
        <v>0</v>
      </c>
      <c r="M27" s="27">
        <f t="shared" ref="M27" si="5">M26/6</f>
        <v>6.916666666666667</v>
      </c>
      <c r="N27" s="27">
        <f t="shared" ref="N27" si="6">N26/7.5</f>
        <v>1.2</v>
      </c>
      <c r="O27" s="27">
        <f t="shared" ref="O27" si="7">O26/6</f>
        <v>0</v>
      </c>
      <c r="P27" s="27">
        <f t="shared" ref="P27" si="8">P26/7.5</f>
        <v>0</v>
      </c>
      <c r="Q27" s="27">
        <f t="shared" ref="Q27" si="9">Q26/6</f>
        <v>10</v>
      </c>
      <c r="R27" s="27">
        <f t="shared" ref="R27" si="10">R26/7.5</f>
        <v>4.8</v>
      </c>
      <c r="S27" s="27">
        <f t="shared" ref="S27" si="11">S26/6</f>
        <v>0</v>
      </c>
      <c r="T27" s="27">
        <f t="shared" ref="T27" si="12">T26/7.5</f>
        <v>0</v>
      </c>
      <c r="U27" s="9" t="e">
        <f t="shared" ref="U27" si="13">U26/6</f>
        <v>#REF!</v>
      </c>
      <c r="V27" s="9" t="e">
        <f t="shared" ref="V27" si="14">V26/7.5</f>
        <v>#REF!</v>
      </c>
      <c r="W27" s="3"/>
      <c r="X27" s="7"/>
      <c r="Y27" s="7"/>
    </row>
    <row r="28" spans="1:25" s="2" customFormat="1" ht="30" customHeight="1" thickBot="1" x14ac:dyDescent="0.35">
      <c r="A28" s="111" t="s">
        <v>34</v>
      </c>
      <c r="B28" s="112"/>
      <c r="C28" s="112"/>
      <c r="D28" s="28"/>
      <c r="E28" s="28"/>
      <c r="F28" s="28"/>
      <c r="G28" s="113">
        <f>G27+H27</f>
        <v>0.5</v>
      </c>
      <c r="H28" s="114"/>
      <c r="I28" s="115">
        <f t="shared" ref="I28" si="15">I27+J27</f>
        <v>0</v>
      </c>
      <c r="J28" s="114"/>
      <c r="K28" s="115">
        <f t="shared" ref="K28" si="16">K27+L27</f>
        <v>0</v>
      </c>
      <c r="L28" s="114"/>
      <c r="M28" s="113">
        <f t="shared" ref="M28" si="17">M27+N27</f>
        <v>8.1166666666666671</v>
      </c>
      <c r="N28" s="114"/>
      <c r="O28" s="115">
        <f t="shared" ref="O28" si="18">O27+P27</f>
        <v>0</v>
      </c>
      <c r="P28" s="114"/>
      <c r="Q28" s="115">
        <f t="shared" ref="Q28" si="19">Q27+R27</f>
        <v>14.8</v>
      </c>
      <c r="R28" s="114"/>
      <c r="S28" s="115">
        <f t="shared" ref="S28" si="20">S27+T27</f>
        <v>0</v>
      </c>
      <c r="T28" s="114"/>
      <c r="U28" s="116" t="e">
        <f t="shared" ref="U28" si="21">U27+V27</f>
        <v>#REF!</v>
      </c>
      <c r="V28" s="117"/>
      <c r="W28" s="3"/>
      <c r="X28" s="7"/>
      <c r="Y28" s="7"/>
    </row>
    <row r="29" spans="1:25" s="2" customFormat="1" ht="24" thickBot="1" x14ac:dyDescent="0.4">
      <c r="A29" s="118" t="s">
        <v>4</v>
      </c>
      <c r="B29" s="119"/>
      <c r="C29" s="119"/>
      <c r="D29" s="97"/>
      <c r="E29" s="97"/>
      <c r="F29" s="118"/>
      <c r="G29" s="122" t="s">
        <v>1</v>
      </c>
      <c r="H29" s="123"/>
      <c r="I29" s="123"/>
      <c r="J29" s="124"/>
      <c r="K29" s="123"/>
      <c r="L29" s="124"/>
      <c r="M29" s="122" t="s">
        <v>33</v>
      </c>
      <c r="N29" s="123"/>
      <c r="O29" s="123"/>
      <c r="P29" s="124"/>
      <c r="Q29" s="122" t="s">
        <v>27</v>
      </c>
      <c r="R29" s="123"/>
      <c r="S29" s="123"/>
      <c r="T29" s="124"/>
      <c r="U29" s="125"/>
      <c r="V29" s="126"/>
      <c r="W29" s="3"/>
      <c r="X29" s="7"/>
      <c r="Y29" s="7"/>
    </row>
    <row r="30" spans="1:25" s="2" customFormat="1" ht="22.2" customHeight="1" thickBot="1" x14ac:dyDescent="0.35">
      <c r="A30" s="120"/>
      <c r="B30" s="121"/>
      <c r="C30" s="121"/>
      <c r="D30" s="98"/>
      <c r="E30" s="98"/>
      <c r="F30" s="120"/>
      <c r="G30" s="11" t="s">
        <v>2</v>
      </c>
      <c r="H30" s="12" t="s">
        <v>3</v>
      </c>
      <c r="I30" s="11" t="s">
        <v>2</v>
      </c>
      <c r="J30" s="12" t="s">
        <v>3</v>
      </c>
      <c r="K30" s="13" t="s">
        <v>2</v>
      </c>
      <c r="L30" s="14" t="s">
        <v>3</v>
      </c>
      <c r="M30" s="4" t="s">
        <v>2</v>
      </c>
      <c r="N30" s="15" t="s">
        <v>3</v>
      </c>
      <c r="O30" s="13" t="s">
        <v>2</v>
      </c>
      <c r="P30" s="14" t="s">
        <v>3</v>
      </c>
      <c r="Q30" s="4" t="s">
        <v>2</v>
      </c>
      <c r="R30" s="15" t="s">
        <v>3</v>
      </c>
      <c r="S30" s="13" t="s">
        <v>2</v>
      </c>
      <c r="T30" s="14" t="s">
        <v>3</v>
      </c>
      <c r="U30" s="13" t="s">
        <v>2</v>
      </c>
      <c r="V30" s="14" t="s">
        <v>3</v>
      </c>
      <c r="W30" s="3"/>
      <c r="X30" s="7"/>
      <c r="Y30" s="7"/>
    </row>
    <row r="31" spans="1:25" s="38" customFormat="1" ht="39.6" customHeight="1" thickBot="1" x14ac:dyDescent="0.35">
      <c r="A31" s="30">
        <v>1</v>
      </c>
      <c r="B31" s="36"/>
      <c r="C31" s="31" t="s">
        <v>29</v>
      </c>
      <c r="D31" s="31"/>
      <c r="E31" s="31"/>
      <c r="F31" s="32"/>
      <c r="G31" s="33">
        <v>0</v>
      </c>
      <c r="H31" s="34">
        <v>0</v>
      </c>
      <c r="I31" s="33"/>
      <c r="J31" s="34"/>
      <c r="K31" s="33"/>
      <c r="L31" s="35"/>
      <c r="M31" s="33">
        <v>0</v>
      </c>
      <c r="N31" s="35">
        <v>1</v>
      </c>
      <c r="O31" s="33"/>
      <c r="P31" s="35"/>
      <c r="Q31" s="33">
        <v>0</v>
      </c>
      <c r="R31" s="35">
        <v>3</v>
      </c>
      <c r="S31" s="33"/>
      <c r="T31" s="35"/>
      <c r="U31" s="33">
        <v>0</v>
      </c>
      <c r="V31" s="35">
        <v>2</v>
      </c>
      <c r="W31" s="36"/>
      <c r="X31" s="37"/>
      <c r="Y31" s="37"/>
    </row>
    <row r="32" spans="1:25" s="38" customFormat="1" ht="30" customHeight="1" thickBot="1" x14ac:dyDescent="0.35">
      <c r="A32" s="39">
        <v>2</v>
      </c>
      <c r="B32" s="36"/>
      <c r="C32" s="31" t="s">
        <v>28</v>
      </c>
      <c r="D32" s="31"/>
      <c r="E32" s="31"/>
      <c r="F32" s="32"/>
      <c r="G32" s="33">
        <v>0</v>
      </c>
      <c r="H32" s="34">
        <v>0</v>
      </c>
      <c r="I32" s="33"/>
      <c r="J32" s="34"/>
      <c r="K32" s="33"/>
      <c r="L32" s="35"/>
      <c r="M32" s="33">
        <v>0</v>
      </c>
      <c r="N32" s="35">
        <v>0</v>
      </c>
      <c r="O32" s="33"/>
      <c r="P32" s="35"/>
      <c r="Q32" s="33">
        <v>0</v>
      </c>
      <c r="R32" s="35"/>
      <c r="S32" s="33"/>
      <c r="T32" s="35"/>
      <c r="U32" s="33">
        <v>0</v>
      </c>
      <c r="V32" s="35">
        <v>3</v>
      </c>
      <c r="W32" s="36"/>
      <c r="X32" s="37"/>
      <c r="Y32" s="37"/>
    </row>
    <row r="33" spans="1:25" s="38" customFormat="1" ht="30" customHeight="1" thickBot="1" x14ac:dyDescent="0.35">
      <c r="A33" s="39">
        <v>3</v>
      </c>
      <c r="B33" s="36"/>
      <c r="C33" s="31" t="s">
        <v>5</v>
      </c>
      <c r="D33" s="31"/>
      <c r="E33" s="31"/>
      <c r="F33" s="32"/>
      <c r="G33" s="33">
        <v>0</v>
      </c>
      <c r="H33" s="34">
        <v>0</v>
      </c>
      <c r="I33" s="33"/>
      <c r="J33" s="34"/>
      <c r="K33" s="33"/>
      <c r="L33" s="35"/>
      <c r="M33" s="33">
        <v>0</v>
      </c>
      <c r="N33" s="35">
        <v>0.5</v>
      </c>
      <c r="O33" s="33"/>
      <c r="P33" s="35"/>
      <c r="Q33" s="33">
        <v>0</v>
      </c>
      <c r="R33" s="35">
        <v>0.5</v>
      </c>
      <c r="S33" s="33"/>
      <c r="T33" s="35"/>
      <c r="U33" s="33">
        <v>0</v>
      </c>
      <c r="V33" s="35">
        <v>1.5</v>
      </c>
      <c r="W33" s="36"/>
      <c r="X33" s="37"/>
      <c r="Y33" s="37"/>
    </row>
    <row r="34" spans="1:25" s="38" customFormat="1" ht="30" customHeight="1" thickBot="1" x14ac:dyDescent="0.35">
      <c r="A34" s="40">
        <v>4</v>
      </c>
      <c r="B34" s="36"/>
      <c r="C34" s="31" t="s">
        <v>6</v>
      </c>
      <c r="D34" s="31"/>
      <c r="E34" s="31"/>
      <c r="F34" s="32"/>
      <c r="G34" s="33">
        <v>0</v>
      </c>
      <c r="H34" s="34">
        <v>0</v>
      </c>
      <c r="I34" s="33"/>
      <c r="J34" s="34"/>
      <c r="K34" s="33"/>
      <c r="L34" s="35"/>
      <c r="M34" s="33">
        <v>0</v>
      </c>
      <c r="N34" s="35">
        <v>0.5</v>
      </c>
      <c r="O34" s="33"/>
      <c r="P34" s="35"/>
      <c r="Q34" s="33">
        <v>0</v>
      </c>
      <c r="R34" s="35">
        <v>0.5</v>
      </c>
      <c r="S34" s="33"/>
      <c r="T34" s="35"/>
      <c r="U34" s="33">
        <v>0</v>
      </c>
      <c r="V34" s="35">
        <v>0.5</v>
      </c>
      <c r="W34" s="36"/>
      <c r="X34" s="37"/>
      <c r="Y34" s="37"/>
    </row>
    <row r="35" spans="1:25" s="38" customFormat="1" ht="30" customHeight="1" thickBot="1" x14ac:dyDescent="0.35">
      <c r="A35" s="39">
        <v>5</v>
      </c>
      <c r="B35" s="36"/>
      <c r="C35" s="31" t="s">
        <v>22</v>
      </c>
      <c r="D35" s="31"/>
      <c r="E35" s="31"/>
      <c r="F35" s="32"/>
      <c r="G35" s="33">
        <v>0</v>
      </c>
      <c r="H35" s="34">
        <v>0</v>
      </c>
      <c r="I35" s="33"/>
      <c r="J35" s="34"/>
      <c r="K35" s="33"/>
      <c r="L35" s="35"/>
      <c r="M35" s="33">
        <v>0</v>
      </c>
      <c r="N35" s="35">
        <v>1</v>
      </c>
      <c r="O35" s="33"/>
      <c r="P35" s="35"/>
      <c r="Q35" s="33">
        <v>0</v>
      </c>
      <c r="R35" s="35"/>
      <c r="S35" s="33"/>
      <c r="T35" s="35"/>
      <c r="U35" s="33">
        <v>0</v>
      </c>
      <c r="V35" s="35">
        <v>1</v>
      </c>
      <c r="W35" s="36"/>
      <c r="X35" s="37"/>
      <c r="Y35" s="37"/>
    </row>
    <row r="36" spans="1:25" s="38" customFormat="1" ht="36" customHeight="1" thickBot="1" x14ac:dyDescent="0.35">
      <c r="A36" s="40">
        <v>6</v>
      </c>
      <c r="B36" s="36"/>
      <c r="C36" s="31" t="s">
        <v>30</v>
      </c>
      <c r="D36" s="31"/>
      <c r="E36" s="31"/>
      <c r="F36" s="32"/>
      <c r="G36" s="33">
        <v>0</v>
      </c>
      <c r="H36" s="34">
        <v>0</v>
      </c>
      <c r="I36" s="33"/>
      <c r="J36" s="34"/>
      <c r="K36" s="33"/>
      <c r="L36" s="35"/>
      <c r="M36" s="33">
        <v>0</v>
      </c>
      <c r="N36" s="35">
        <v>0</v>
      </c>
      <c r="O36" s="33"/>
      <c r="P36" s="35"/>
      <c r="Q36" s="33">
        <v>0</v>
      </c>
      <c r="R36" s="35">
        <v>0</v>
      </c>
      <c r="S36" s="33"/>
      <c r="T36" s="35"/>
      <c r="U36" s="33">
        <v>0</v>
      </c>
      <c r="V36" s="35">
        <v>0</v>
      </c>
      <c r="W36" s="36"/>
      <c r="X36" s="37"/>
      <c r="Y36" s="37"/>
    </row>
    <row r="37" spans="1:25" s="38" customFormat="1" ht="30" customHeight="1" thickBot="1" x14ac:dyDescent="0.35">
      <c r="A37" s="39">
        <v>7</v>
      </c>
      <c r="B37" s="36"/>
      <c r="C37" s="31" t="s">
        <v>23</v>
      </c>
      <c r="D37" s="31"/>
      <c r="E37" s="31"/>
      <c r="F37" s="32"/>
      <c r="G37" s="33">
        <v>0</v>
      </c>
      <c r="H37" s="34">
        <v>0</v>
      </c>
      <c r="I37" s="33"/>
      <c r="J37" s="34"/>
      <c r="K37" s="33"/>
      <c r="L37" s="35"/>
      <c r="M37" s="33">
        <v>0</v>
      </c>
      <c r="N37" s="35">
        <v>1</v>
      </c>
      <c r="O37" s="33"/>
      <c r="P37" s="35"/>
      <c r="Q37" s="33">
        <v>0</v>
      </c>
      <c r="R37" s="35"/>
      <c r="S37" s="33"/>
      <c r="T37" s="35"/>
      <c r="U37" s="33">
        <v>0</v>
      </c>
      <c r="V37" s="35">
        <v>4</v>
      </c>
      <c r="W37" s="36"/>
      <c r="X37" s="37"/>
      <c r="Y37" s="37"/>
    </row>
    <row r="38" spans="1:25" s="38" customFormat="1" ht="30" customHeight="1" thickBot="1" x14ac:dyDescent="0.35">
      <c r="A38" s="40">
        <v>8</v>
      </c>
      <c r="B38" s="36"/>
      <c r="C38" s="31" t="s">
        <v>26</v>
      </c>
      <c r="D38" s="31"/>
      <c r="E38" s="31"/>
      <c r="F38" s="32"/>
      <c r="G38" s="33">
        <v>0</v>
      </c>
      <c r="H38" s="34">
        <v>0</v>
      </c>
      <c r="I38" s="33"/>
      <c r="J38" s="34"/>
      <c r="K38" s="33"/>
      <c r="L38" s="35"/>
      <c r="M38" s="33">
        <v>0</v>
      </c>
      <c r="N38" s="35">
        <v>0</v>
      </c>
      <c r="O38" s="33"/>
      <c r="P38" s="35"/>
      <c r="Q38" s="33">
        <v>0</v>
      </c>
      <c r="R38" s="35">
        <v>0.5</v>
      </c>
      <c r="S38" s="33"/>
      <c r="T38" s="35"/>
      <c r="U38" s="33">
        <v>0</v>
      </c>
      <c r="V38" s="35">
        <v>0.5</v>
      </c>
      <c r="W38" s="36"/>
      <c r="X38" s="37"/>
      <c r="Y38" s="37"/>
    </row>
    <row r="39" spans="1:25" s="38" customFormat="1" ht="36" customHeight="1" thickBot="1" x14ac:dyDescent="0.35">
      <c r="A39" s="39">
        <v>9</v>
      </c>
      <c r="B39" s="36"/>
      <c r="C39" s="31" t="s">
        <v>24</v>
      </c>
      <c r="D39" s="31"/>
      <c r="E39" s="31"/>
      <c r="F39" s="32"/>
      <c r="G39" s="33">
        <v>0</v>
      </c>
      <c r="H39" s="34">
        <v>0</v>
      </c>
      <c r="I39" s="33"/>
      <c r="J39" s="34"/>
      <c r="K39" s="33"/>
      <c r="L39" s="35"/>
      <c r="M39" s="33">
        <v>0</v>
      </c>
      <c r="N39" s="35">
        <v>0</v>
      </c>
      <c r="O39" s="33"/>
      <c r="P39" s="35"/>
      <c r="Q39" s="33">
        <v>0</v>
      </c>
      <c r="R39" s="35">
        <v>0.5</v>
      </c>
      <c r="S39" s="33"/>
      <c r="T39" s="35"/>
      <c r="U39" s="33">
        <v>0</v>
      </c>
      <c r="V39" s="35">
        <v>0.5</v>
      </c>
      <c r="W39" s="36"/>
      <c r="X39" s="37"/>
      <c r="Y39" s="37"/>
    </row>
    <row r="40" spans="1:25" s="38" customFormat="1" ht="30" customHeight="1" thickBot="1" x14ac:dyDescent="0.35">
      <c r="A40" s="40">
        <v>10</v>
      </c>
      <c r="B40" s="36"/>
      <c r="C40" s="31" t="s">
        <v>7</v>
      </c>
      <c r="D40" s="31"/>
      <c r="E40" s="31"/>
      <c r="F40" s="32"/>
      <c r="G40" s="33">
        <v>0</v>
      </c>
      <c r="H40" s="34">
        <v>0</v>
      </c>
      <c r="I40" s="33"/>
      <c r="J40" s="34"/>
      <c r="K40" s="33"/>
      <c r="L40" s="35"/>
      <c r="M40" s="33">
        <v>0</v>
      </c>
      <c r="N40" s="35">
        <v>0</v>
      </c>
      <c r="O40" s="33"/>
      <c r="P40" s="35"/>
      <c r="Q40" s="33">
        <v>0</v>
      </c>
      <c r="R40" s="35">
        <v>0</v>
      </c>
      <c r="S40" s="33"/>
      <c r="T40" s="35"/>
      <c r="U40" s="33">
        <v>0</v>
      </c>
      <c r="V40" s="35">
        <v>0</v>
      </c>
      <c r="W40" s="36"/>
      <c r="X40" s="36"/>
      <c r="Y40" s="36"/>
    </row>
    <row r="41" spans="1:25" s="49" customFormat="1" ht="30" customHeight="1" thickBot="1" x14ac:dyDescent="0.35">
      <c r="A41" s="109" t="s">
        <v>16</v>
      </c>
      <c r="B41" s="110"/>
      <c r="C41" s="127"/>
      <c r="D41" s="25"/>
      <c r="E41" s="25"/>
      <c r="F41" s="48"/>
      <c r="G41" s="41">
        <f t="shared" ref="G41:V41" si="22">SUM(G31:G40)</f>
        <v>0</v>
      </c>
      <c r="H41" s="41">
        <f t="shared" si="22"/>
        <v>0</v>
      </c>
      <c r="I41" s="41">
        <f t="shared" si="22"/>
        <v>0</v>
      </c>
      <c r="J41" s="41">
        <f t="shared" si="22"/>
        <v>0</v>
      </c>
      <c r="K41" s="41">
        <f t="shared" si="22"/>
        <v>0</v>
      </c>
      <c r="L41" s="41">
        <f t="shared" si="22"/>
        <v>0</v>
      </c>
      <c r="M41" s="41">
        <f t="shared" si="22"/>
        <v>0</v>
      </c>
      <c r="N41" s="41">
        <f t="shared" si="22"/>
        <v>4</v>
      </c>
      <c r="O41" s="41">
        <f t="shared" si="22"/>
        <v>0</v>
      </c>
      <c r="P41" s="41">
        <f t="shared" si="22"/>
        <v>0</v>
      </c>
      <c r="Q41" s="41">
        <f t="shared" si="22"/>
        <v>0</v>
      </c>
      <c r="R41" s="41">
        <f t="shared" si="22"/>
        <v>5</v>
      </c>
      <c r="S41" s="41">
        <f t="shared" si="22"/>
        <v>0</v>
      </c>
      <c r="T41" s="41">
        <f t="shared" si="22"/>
        <v>0</v>
      </c>
      <c r="U41" s="41">
        <f t="shared" si="22"/>
        <v>0</v>
      </c>
      <c r="V41" s="41">
        <f t="shared" si="22"/>
        <v>13</v>
      </c>
      <c r="W41" s="42"/>
      <c r="X41" s="42"/>
      <c r="Y41" s="42"/>
    </row>
    <row r="42" spans="1:25" s="49" customFormat="1" ht="30" customHeight="1" thickBot="1" x14ac:dyDescent="0.35">
      <c r="A42" s="109" t="s">
        <v>17</v>
      </c>
      <c r="B42" s="110"/>
      <c r="C42" s="110"/>
      <c r="D42" s="96"/>
      <c r="E42" s="96"/>
      <c r="F42" s="25"/>
      <c r="G42" s="27">
        <f>G41/6</f>
        <v>0</v>
      </c>
      <c r="H42" s="27">
        <f>H41/7.5</f>
        <v>0</v>
      </c>
      <c r="I42" s="27">
        <f t="shared" ref="I42" si="23">I41/6</f>
        <v>0</v>
      </c>
      <c r="J42" s="27">
        <f t="shared" ref="J42" si="24">J41/7.5</f>
        <v>0</v>
      </c>
      <c r="K42" s="27">
        <f t="shared" ref="K42" si="25">K41/6</f>
        <v>0</v>
      </c>
      <c r="L42" s="27">
        <f t="shared" ref="L42" si="26">L41/7.5</f>
        <v>0</v>
      </c>
      <c r="M42" s="27">
        <f t="shared" ref="M42" si="27">M41/6</f>
        <v>0</v>
      </c>
      <c r="N42" s="27">
        <f t="shared" ref="N42" si="28">N41/7.5</f>
        <v>0.53333333333333333</v>
      </c>
      <c r="O42" s="27">
        <f t="shared" ref="O42" si="29">O41/6</f>
        <v>0</v>
      </c>
      <c r="P42" s="27">
        <f t="shared" ref="P42" si="30">P41/7.5</f>
        <v>0</v>
      </c>
      <c r="Q42" s="27">
        <f t="shared" ref="Q42" si="31">Q41/6</f>
        <v>0</v>
      </c>
      <c r="R42" s="27">
        <f t="shared" ref="R42" si="32">R41/7.5</f>
        <v>0.66666666666666663</v>
      </c>
      <c r="S42" s="27">
        <f t="shared" ref="S42" si="33">S41/6</f>
        <v>0</v>
      </c>
      <c r="T42" s="27">
        <f t="shared" ref="T42" si="34">T41/7.5</f>
        <v>0</v>
      </c>
      <c r="U42" s="27">
        <f t="shared" ref="U42" si="35">U41/6</f>
        <v>0</v>
      </c>
      <c r="V42" s="27">
        <f t="shared" ref="V42" si="36">V41/7.5</f>
        <v>1.7333333333333334</v>
      </c>
      <c r="W42" s="42"/>
      <c r="X42" s="42"/>
      <c r="Y42" s="42"/>
    </row>
    <row r="43" spans="1:25" s="49" customFormat="1" ht="30" customHeight="1" thickBot="1" x14ac:dyDescent="0.35">
      <c r="A43" s="111" t="s">
        <v>35</v>
      </c>
      <c r="B43" s="112"/>
      <c r="C43" s="112"/>
      <c r="D43" s="28"/>
      <c r="E43" s="28"/>
      <c r="F43" s="28"/>
      <c r="G43" s="113">
        <f>G42+H42</f>
        <v>0</v>
      </c>
      <c r="H43" s="114"/>
      <c r="I43" s="115">
        <f t="shared" ref="I43" si="37">I42+J42</f>
        <v>0</v>
      </c>
      <c r="J43" s="114"/>
      <c r="K43" s="115">
        <f t="shared" ref="K43" si="38">K42+L42</f>
        <v>0</v>
      </c>
      <c r="L43" s="114"/>
      <c r="M43" s="113">
        <f t="shared" ref="M43" si="39">M42+N42</f>
        <v>0.53333333333333333</v>
      </c>
      <c r="N43" s="114"/>
      <c r="O43" s="115">
        <f t="shared" ref="O43" si="40">O42+P42</f>
        <v>0</v>
      </c>
      <c r="P43" s="114"/>
      <c r="Q43" s="115">
        <f t="shared" ref="Q43" si="41">Q42+R42</f>
        <v>0.66666666666666663</v>
      </c>
      <c r="R43" s="114"/>
      <c r="S43" s="115">
        <f t="shared" ref="S43" si="42">S42+T42</f>
        <v>0</v>
      </c>
      <c r="T43" s="114"/>
      <c r="U43" s="115">
        <f t="shared" ref="U43" si="43">U42+V42</f>
        <v>1.7333333333333334</v>
      </c>
      <c r="V43" s="114"/>
      <c r="W43" s="42"/>
      <c r="X43" s="42"/>
      <c r="Y43" s="42"/>
    </row>
    <row r="44" spans="1:25" s="50" customFormat="1" ht="30" customHeight="1" thickBot="1" x14ac:dyDescent="0.35">
      <c r="A44" s="131" t="s">
        <v>13</v>
      </c>
      <c r="B44" s="132"/>
      <c r="C44" s="132"/>
      <c r="D44" s="99"/>
      <c r="E44" s="99"/>
      <c r="F44" s="26"/>
      <c r="G44" s="41">
        <f>SUM(G26,G41)</f>
        <v>3</v>
      </c>
      <c r="H44" s="41">
        <f t="shared" ref="H44:T44" si="44">SUM(H26,H41)</f>
        <v>0</v>
      </c>
      <c r="I44" s="41">
        <f t="shared" si="44"/>
        <v>0</v>
      </c>
      <c r="J44" s="41">
        <f t="shared" si="44"/>
        <v>0</v>
      </c>
      <c r="K44" s="41">
        <f t="shared" si="44"/>
        <v>0</v>
      </c>
      <c r="L44" s="41">
        <f t="shared" si="44"/>
        <v>0</v>
      </c>
      <c r="M44" s="41">
        <f t="shared" si="44"/>
        <v>41.5</v>
      </c>
      <c r="N44" s="41">
        <f t="shared" si="44"/>
        <v>13</v>
      </c>
      <c r="O44" s="41">
        <f t="shared" si="44"/>
        <v>0</v>
      </c>
      <c r="P44" s="41">
        <f t="shared" si="44"/>
        <v>0</v>
      </c>
      <c r="Q44" s="41">
        <f t="shared" si="44"/>
        <v>60</v>
      </c>
      <c r="R44" s="41">
        <f t="shared" si="44"/>
        <v>41</v>
      </c>
      <c r="S44" s="41">
        <f t="shared" si="44"/>
        <v>0</v>
      </c>
      <c r="T44" s="41">
        <f t="shared" si="44"/>
        <v>0</v>
      </c>
      <c r="U44" s="17" t="e">
        <f>SUM(U26,#REF!,U41)</f>
        <v>#REF!</v>
      </c>
      <c r="V44" s="17" t="e">
        <f>SUM(V26,#REF!,V41)</f>
        <v>#REF!</v>
      </c>
      <c r="W44" s="3"/>
      <c r="X44" s="3"/>
      <c r="Y44" s="3"/>
    </row>
    <row r="45" spans="1:25" s="50" customFormat="1" ht="30" customHeight="1" thickBot="1" x14ac:dyDescent="0.35">
      <c r="A45" s="131" t="s">
        <v>15</v>
      </c>
      <c r="B45" s="132"/>
      <c r="C45" s="132"/>
      <c r="D45" s="99"/>
      <c r="E45" s="99"/>
      <c r="F45" s="26"/>
      <c r="G45" s="27">
        <f>G44/6</f>
        <v>0.5</v>
      </c>
      <c r="H45" s="43">
        <f>H44/7.5</f>
        <v>0</v>
      </c>
      <c r="I45" s="27">
        <f t="shared" ref="I45" si="45">I44/6</f>
        <v>0</v>
      </c>
      <c r="J45" s="43">
        <f t="shared" ref="J45" si="46">J44/7.5</f>
        <v>0</v>
      </c>
      <c r="K45" s="27">
        <f t="shared" ref="K45" si="47">K44/6</f>
        <v>0</v>
      </c>
      <c r="L45" s="43">
        <f t="shared" ref="L45" si="48">L44/7.5</f>
        <v>0</v>
      </c>
      <c r="M45" s="27">
        <f t="shared" ref="M45" si="49">M44/6</f>
        <v>6.916666666666667</v>
      </c>
      <c r="N45" s="43">
        <f t="shared" ref="N45" si="50">N44/7.5</f>
        <v>1.7333333333333334</v>
      </c>
      <c r="O45" s="27">
        <f t="shared" ref="O45" si="51">O44/6</f>
        <v>0</v>
      </c>
      <c r="P45" s="43">
        <f t="shared" ref="P45" si="52">P44/7.5</f>
        <v>0</v>
      </c>
      <c r="Q45" s="27">
        <f t="shared" ref="Q45" si="53">Q44/6</f>
        <v>10</v>
      </c>
      <c r="R45" s="43">
        <f t="shared" ref="R45" si="54">R44/7.5</f>
        <v>5.4666666666666668</v>
      </c>
      <c r="S45" s="27">
        <f t="shared" ref="S45" si="55">S44/6</f>
        <v>0</v>
      </c>
      <c r="T45" s="43">
        <f t="shared" ref="T45" si="56">T44/7.5</f>
        <v>0</v>
      </c>
      <c r="U45" s="9" t="e">
        <f t="shared" ref="U45" si="57">U44/6</f>
        <v>#REF!</v>
      </c>
      <c r="V45" s="18" t="e">
        <f t="shared" ref="V45" si="58">V44/7.5</f>
        <v>#REF!</v>
      </c>
      <c r="W45" s="3"/>
      <c r="X45" s="3"/>
      <c r="Y45" s="3"/>
    </row>
    <row r="46" spans="1:25" s="50" customFormat="1" ht="30" customHeight="1" thickBot="1" x14ac:dyDescent="0.35">
      <c r="A46" s="122" t="s">
        <v>36</v>
      </c>
      <c r="B46" s="123"/>
      <c r="C46" s="123"/>
      <c r="D46" s="10"/>
      <c r="E46" s="10"/>
      <c r="F46" s="10"/>
      <c r="G46" s="130">
        <f>G45+H45</f>
        <v>0.5</v>
      </c>
      <c r="H46" s="129"/>
      <c r="I46" s="128">
        <f t="shared" ref="I46" si="59">I45+J45</f>
        <v>0</v>
      </c>
      <c r="J46" s="129"/>
      <c r="K46" s="128">
        <f t="shared" ref="K46" si="60">K45+L45</f>
        <v>0</v>
      </c>
      <c r="L46" s="129"/>
      <c r="M46" s="130">
        <f t="shared" ref="M46" si="61">M45+N45</f>
        <v>8.65</v>
      </c>
      <c r="N46" s="129"/>
      <c r="O46" s="128">
        <f t="shared" ref="O46" si="62">O45+P45</f>
        <v>0</v>
      </c>
      <c r="P46" s="129"/>
      <c r="Q46" s="128">
        <f t="shared" ref="Q46" si="63">Q45+R45</f>
        <v>15.466666666666667</v>
      </c>
      <c r="R46" s="129"/>
      <c r="S46" s="128">
        <f t="shared" ref="S46" si="64">S45+T45</f>
        <v>0</v>
      </c>
      <c r="T46" s="129"/>
      <c r="U46" s="138" t="e">
        <f t="shared" ref="U46" si="65">U45+V45</f>
        <v>#REF!</v>
      </c>
      <c r="V46" s="139"/>
      <c r="W46" s="3"/>
      <c r="X46" s="3"/>
      <c r="Y46" s="3"/>
    </row>
    <row r="47" spans="1:25" s="50" customFormat="1" ht="30" customHeight="1" thickBot="1" x14ac:dyDescent="0.35">
      <c r="A47" s="135" t="s">
        <v>8</v>
      </c>
      <c r="B47" s="136"/>
      <c r="C47" s="137"/>
      <c r="D47" s="44"/>
      <c r="E47" s="44"/>
      <c r="F47" s="44"/>
      <c r="G47" s="46"/>
      <c r="H47" s="46"/>
      <c r="I47" s="45"/>
      <c r="J47" s="46"/>
      <c r="K47" s="45"/>
      <c r="L47" s="46"/>
      <c r="M47" s="29"/>
      <c r="N47" s="47"/>
      <c r="O47" s="45"/>
      <c r="P47" s="46"/>
      <c r="Q47" s="45"/>
      <c r="R47" s="46"/>
      <c r="S47" s="45"/>
      <c r="T47" s="46"/>
      <c r="U47" s="20">
        <v>0</v>
      </c>
      <c r="V47" s="19">
        <v>0</v>
      </c>
      <c r="W47" s="3"/>
      <c r="X47" s="3"/>
      <c r="Y47" s="3"/>
    </row>
    <row r="48" spans="1:25" s="50" customFormat="1" ht="30" customHeight="1" thickBot="1" x14ac:dyDescent="0.35">
      <c r="A48" s="135" t="s">
        <v>9</v>
      </c>
      <c r="B48" s="136"/>
      <c r="C48" s="136"/>
      <c r="D48" s="44"/>
      <c r="E48" s="44"/>
      <c r="F48" s="44"/>
      <c r="G48" s="113"/>
      <c r="H48" s="114"/>
      <c r="I48" s="113"/>
      <c r="J48" s="114"/>
      <c r="K48" s="113"/>
      <c r="L48" s="114"/>
      <c r="M48" s="113"/>
      <c r="N48" s="114"/>
      <c r="O48" s="113"/>
      <c r="P48" s="114"/>
      <c r="Q48" s="113"/>
      <c r="R48" s="114"/>
      <c r="S48" s="113"/>
      <c r="T48" s="114"/>
      <c r="U48" s="133">
        <f>U47+V47</f>
        <v>0</v>
      </c>
      <c r="V48" s="134"/>
      <c r="W48" s="3"/>
      <c r="X48" s="3"/>
      <c r="Y48" s="3"/>
    </row>
    <row r="49" spans="1:25" s="50" customFormat="1" ht="30" customHeight="1" thickBot="1" x14ac:dyDescent="0.35">
      <c r="A49" s="135" t="s">
        <v>10</v>
      </c>
      <c r="B49" s="136"/>
      <c r="C49" s="136"/>
      <c r="D49" s="44"/>
      <c r="E49" s="44"/>
      <c r="F49" s="44"/>
      <c r="G49" s="113">
        <f>SUM(G46+G48)</f>
        <v>0.5</v>
      </c>
      <c r="H49" s="114"/>
      <c r="I49" s="115">
        <f>SUM(I46+I48)</f>
        <v>0</v>
      </c>
      <c r="J49" s="114"/>
      <c r="K49" s="115">
        <f>SUM(K46+K48)</f>
        <v>0</v>
      </c>
      <c r="L49" s="114"/>
      <c r="M49" s="113">
        <f>SUM(M46+M48)</f>
        <v>8.65</v>
      </c>
      <c r="N49" s="114"/>
      <c r="O49" s="115">
        <f>SUM(O46+O48)</f>
        <v>0</v>
      </c>
      <c r="P49" s="114"/>
      <c r="Q49" s="115">
        <f>SUM(Q46+Q48)</f>
        <v>15.466666666666667</v>
      </c>
      <c r="R49" s="114"/>
      <c r="S49" s="115">
        <f>SUM(S46+S48)</f>
        <v>0</v>
      </c>
      <c r="T49" s="114"/>
      <c r="U49" s="138" t="e">
        <f>SUM(U46+U48)</f>
        <v>#REF!</v>
      </c>
      <c r="V49" s="139"/>
      <c r="W49" s="3"/>
      <c r="X49" s="3"/>
      <c r="Y49" s="3"/>
    </row>
    <row r="50" spans="1:25" s="50" customFormat="1" ht="30" customHeight="1" thickBot="1" x14ac:dyDescent="0.35">
      <c r="A50" s="135" t="s">
        <v>11</v>
      </c>
      <c r="B50" s="136"/>
      <c r="C50" s="136"/>
      <c r="D50" s="44"/>
      <c r="E50" s="44"/>
      <c r="F50" s="44"/>
      <c r="G50" s="135">
        <v>24</v>
      </c>
      <c r="H50" s="137"/>
      <c r="I50" s="135"/>
      <c r="J50" s="137"/>
      <c r="K50" s="135">
        <v>25</v>
      </c>
      <c r="L50" s="137"/>
      <c r="M50" s="135">
        <v>24</v>
      </c>
      <c r="N50" s="137"/>
      <c r="O50" s="135">
        <v>25</v>
      </c>
      <c r="P50" s="137"/>
      <c r="Q50" s="135">
        <v>24</v>
      </c>
      <c r="R50" s="137"/>
      <c r="S50" s="135">
        <v>25</v>
      </c>
      <c r="T50" s="137"/>
      <c r="U50" s="133">
        <v>21</v>
      </c>
      <c r="V50" s="134"/>
      <c r="W50" s="3"/>
      <c r="X50" s="3"/>
      <c r="Y50" s="3"/>
    </row>
    <row r="51" spans="1:25" s="50" customFormat="1" ht="30" customHeight="1" thickBot="1" x14ac:dyDescent="0.35">
      <c r="A51" s="135" t="s">
        <v>25</v>
      </c>
      <c r="B51" s="136"/>
      <c r="C51" s="136"/>
      <c r="D51" s="44"/>
      <c r="E51" s="44"/>
      <c r="F51" s="44"/>
      <c r="G51" s="135"/>
      <c r="H51" s="137"/>
      <c r="I51" s="136">
        <v>21</v>
      </c>
      <c r="J51" s="137"/>
      <c r="K51" s="136">
        <v>21</v>
      </c>
      <c r="L51" s="137"/>
      <c r="M51" s="135"/>
      <c r="N51" s="137"/>
      <c r="O51" s="136">
        <v>21</v>
      </c>
      <c r="P51" s="137"/>
      <c r="Q51" s="136"/>
      <c r="R51" s="137"/>
      <c r="S51" s="136">
        <v>21</v>
      </c>
      <c r="T51" s="137"/>
      <c r="U51" s="133">
        <v>21</v>
      </c>
      <c r="V51" s="134"/>
      <c r="W51" s="3"/>
      <c r="X51" s="3"/>
      <c r="Y51" s="3"/>
    </row>
    <row r="52" spans="1:25" s="50" customFormat="1" ht="30" customHeight="1" thickBot="1" x14ac:dyDescent="0.35">
      <c r="A52" s="135" t="s">
        <v>12</v>
      </c>
      <c r="B52" s="136"/>
      <c r="C52" s="136"/>
      <c r="D52" s="44"/>
      <c r="E52" s="44"/>
      <c r="F52" s="44"/>
      <c r="G52" s="113">
        <f>G50-G49-G51</f>
        <v>23.5</v>
      </c>
      <c r="H52" s="114"/>
      <c r="I52" s="115">
        <f t="shared" ref="I52" si="66">I50-I49-I51</f>
        <v>-21</v>
      </c>
      <c r="J52" s="114"/>
      <c r="K52" s="115">
        <f t="shared" ref="K52" si="67">K50-K49-K51</f>
        <v>4</v>
      </c>
      <c r="L52" s="114"/>
      <c r="M52" s="113">
        <f t="shared" ref="M52" si="68">M50-M49-M51</f>
        <v>15.35</v>
      </c>
      <c r="N52" s="114"/>
      <c r="O52" s="115">
        <f t="shared" ref="O52" si="69">O50-O49-O51</f>
        <v>4</v>
      </c>
      <c r="P52" s="114"/>
      <c r="Q52" s="115">
        <f t="shared" ref="Q52" si="70">Q50-Q49-Q51</f>
        <v>8.5333333333333332</v>
      </c>
      <c r="R52" s="114"/>
      <c r="S52" s="115">
        <f t="shared" ref="S52" si="71">S50-S49-S51</f>
        <v>4</v>
      </c>
      <c r="T52" s="114"/>
      <c r="U52" s="138" t="e">
        <f>U50-U49</f>
        <v>#REF!</v>
      </c>
      <c r="V52" s="139"/>
      <c r="W52" s="3"/>
      <c r="X52" s="3"/>
      <c r="Y52" s="3"/>
    </row>
  </sheetData>
  <mergeCells count="95">
    <mergeCell ref="A52:C52"/>
    <mergeCell ref="G52:H52"/>
    <mergeCell ref="I52:J52"/>
    <mergeCell ref="K52:L52"/>
    <mergeCell ref="M52:N52"/>
    <mergeCell ref="K51:L51"/>
    <mergeCell ref="M51:N51"/>
    <mergeCell ref="Q52:R52"/>
    <mergeCell ref="S52:T52"/>
    <mergeCell ref="U52:V52"/>
    <mergeCell ref="O52:P52"/>
    <mergeCell ref="O51:P51"/>
    <mergeCell ref="Q51:R51"/>
    <mergeCell ref="S51:T51"/>
    <mergeCell ref="U51:V51"/>
    <mergeCell ref="A50:C50"/>
    <mergeCell ref="G50:H50"/>
    <mergeCell ref="I50:J50"/>
    <mergeCell ref="K50:L50"/>
    <mergeCell ref="M50:N50"/>
    <mergeCell ref="O50:P50"/>
    <mergeCell ref="Q50:R50"/>
    <mergeCell ref="S50:T50"/>
    <mergeCell ref="U50:V50"/>
    <mergeCell ref="A51:C51"/>
    <mergeCell ref="G51:H51"/>
    <mergeCell ref="I51:J51"/>
    <mergeCell ref="A49:C49"/>
    <mergeCell ref="G49:H49"/>
    <mergeCell ref="I49:J49"/>
    <mergeCell ref="K49:L49"/>
    <mergeCell ref="M49:N49"/>
    <mergeCell ref="O49:P49"/>
    <mergeCell ref="Q49:R49"/>
    <mergeCell ref="S49:T49"/>
    <mergeCell ref="U49:V49"/>
    <mergeCell ref="S46:T46"/>
    <mergeCell ref="U46:V46"/>
    <mergeCell ref="A47:C47"/>
    <mergeCell ref="A48:C48"/>
    <mergeCell ref="G48:H48"/>
    <mergeCell ref="I48:J48"/>
    <mergeCell ref="K48:L48"/>
    <mergeCell ref="M48:N48"/>
    <mergeCell ref="O48:P48"/>
    <mergeCell ref="Q48:R48"/>
    <mergeCell ref="S48:T48"/>
    <mergeCell ref="U48:V48"/>
    <mergeCell ref="K46:L46"/>
    <mergeCell ref="M46:N46"/>
    <mergeCell ref="O46:P46"/>
    <mergeCell ref="Q46:R46"/>
    <mergeCell ref="A43:C43"/>
    <mergeCell ref="G43:H43"/>
    <mergeCell ref="I43:J43"/>
    <mergeCell ref="K43:L43"/>
    <mergeCell ref="M43:N43"/>
    <mergeCell ref="O43:P43"/>
    <mergeCell ref="Q43:R43"/>
    <mergeCell ref="A44:C44"/>
    <mergeCell ref="A45:C45"/>
    <mergeCell ref="A46:C46"/>
    <mergeCell ref="G46:H46"/>
    <mergeCell ref="I46:J46"/>
    <mergeCell ref="S43:T43"/>
    <mergeCell ref="U43:V43"/>
    <mergeCell ref="A29:C30"/>
    <mergeCell ref="F29:F30"/>
    <mergeCell ref="G29:J29"/>
    <mergeCell ref="K29:L29"/>
    <mergeCell ref="M29:P29"/>
    <mergeCell ref="Q29:T29"/>
    <mergeCell ref="U29:V29"/>
    <mergeCell ref="A41:C41"/>
    <mergeCell ref="A42:C42"/>
    <mergeCell ref="U28:V28"/>
    <mergeCell ref="G1:H1"/>
    <mergeCell ref="I1:J1"/>
    <mergeCell ref="K1:L1"/>
    <mergeCell ref="M1:N1"/>
    <mergeCell ref="K28:L28"/>
    <mergeCell ref="M28:N28"/>
    <mergeCell ref="O28:P28"/>
    <mergeCell ref="Q28:R28"/>
    <mergeCell ref="S28:T28"/>
    <mergeCell ref="A26:C26"/>
    <mergeCell ref="A27:C27"/>
    <mergeCell ref="A28:C28"/>
    <mergeCell ref="G28:H28"/>
    <mergeCell ref="I28:J28"/>
    <mergeCell ref="O1:P1"/>
    <mergeCell ref="Q1:R1"/>
    <mergeCell ref="S1:T1"/>
    <mergeCell ref="U1:V1"/>
    <mergeCell ref="W1:Y1"/>
  </mergeCells>
  <printOptions horizontalCentered="1" verticalCentered="1"/>
  <pageMargins left="0" right="0" top="0" bottom="0" header="0.31496062992125984" footer="0.31496062992125984"/>
  <pageSetup paperSize="9" scale="68" fitToHeight="5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Jan 2026</vt:lpstr>
      <vt:lpstr>Feb 2026</vt:lpstr>
      <vt:lpstr>March 2026</vt:lpstr>
      <vt:lpstr>April 2026</vt:lpstr>
      <vt:lpstr>May 2026</vt:lpstr>
      <vt:lpstr>'April 2026'!Print_Area</vt:lpstr>
      <vt:lpstr>'March 2026'!Print_Area</vt:lpstr>
      <vt:lpstr>'May 2026'!Print_Area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Waste Warrior 5</dc:creator>
  <cp:lastModifiedBy>Yash Rathod</cp:lastModifiedBy>
  <cp:lastPrinted>2025-10-03T09:34:50Z</cp:lastPrinted>
  <dcterms:created xsi:type="dcterms:W3CDTF">2015-06-05T18:17:20Z</dcterms:created>
  <dcterms:modified xsi:type="dcterms:W3CDTF">2026-05-01T09:24:06Z</dcterms:modified>
</cp:coreProperties>
</file>